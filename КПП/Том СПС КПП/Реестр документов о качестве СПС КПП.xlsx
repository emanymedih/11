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ПС КПП" sheetId="1" state="visible" r:id="rId3"/>
  </sheets>
  <definedNames>
    <definedName function="false" hidden="false" localSheetId="0" name="_xlnm.Print_Titles" vbProcedure="false">'Реестр СПС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<sst xmlns="http://schemas.openxmlformats.org/spreadsheetml/2006/main" count="132" uniqueCount="94">
  <si>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</si>
  <si>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</si>
  <si>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</si>
  <si>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</si>
  <si>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СПС — система пожарной сигнализации и система оповещения и управления эвакуацией (АПС, СОУЭ). Рабочая документация 16/1/26-АПС,СОУЭ-Р. Исполнительная документация 16/1/26-АПС,СОУЭ-ИД-КПП, лист 2; кабельный журнал 16/1/26-АПС,СОУЭ-ИД-КПП.КЖ; спецификация 16/1/26-АПС,СОУЭ-ИД-КПП.СО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</si>
  <si>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</si>
  <si>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1-СПС-КПП, 2-СПС-КПП, 3-СПС-КПП.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</si>
  <si>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</si>
  <si>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</si>
  <si>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</si>
  <si>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</si>
  <si>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</si>
  <si>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</si>
  <si>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</si>
  <si>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</si>
  <si>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</si>
  <si>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</si>
  <si>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</si>
  <si>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</si>
  <si>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1-СПС-КПП — монтаж защитных гильз и герметизация кабельных проходок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</si>
  <si>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</si>
  <si>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</si>
  <si>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</si>
  <si>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</si>
  <si>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</si>
  <si>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</si>
  <si>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</si>
  <si>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</si>
  <si>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1-СПС-КПП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</si>
  <si>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</si>
  <si>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</si>
  <si>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</si>
  <si>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</si>
  <si>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</si>
  <si>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</si>
  <si>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</si>
  <si>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</si>
  <si>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</si>
  <si>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</si>
  <si>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</si>
  <si>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</si>
  <si>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</si>
  <si>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</si>
  <si>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</si>
  <si>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2-СПС-КПП — монтаж кабеленесущей системы (кабель-канал)</t>
  </si>
  <si>
    <t xml:space="preserve">Кабель-канал магистральный 25×16 ЭЛЕКОР</t>
  </si>
  <si>
    <t xml:space="preserve">АО «ИЭК ХОЛДИНГ» (IEK)</t>
  </si>
  <si>
    <t xml:space="preserve">СЕРТИФИКАТ СООТВЕТСТВИЯ (ТР ЕАЭС 043/2017) с приложениями № 1–2</t>
  </si>
  <si>
    <t xml:space="preserve">ЕАЭС RU C-RU.НВ88.В.00177/25</t>
  </si>
  <si>
    <t xml:space="preserve">19.02.2025</t>
  </si>
  <si>
    <t xml:space="preserve">по 27.09.2028 включительно</t>
  </si>
  <si>
    <t xml:space="preserve">ОС ООО «Национальная Лаборатория» (RA.RU.11НВ88)</t>
  </si>
  <si>
    <t xml:space="preserve">2-СПС-КПП</t>
  </si>
  <si>
    <t xml:space="preserve">РЕШЕНИЕ органа по сертификации об отказе (ТР ТС 004/2011, ТР ТС 020/2011, ТР ЕАЭС 037/2016 не распространяются)</t>
  </si>
  <si>
    <t xml:space="preserve">№ 3035</t>
  </si>
  <si>
    <t xml:space="preserve">23.11.2022</t>
  </si>
  <si>
    <t xml:space="preserve">—</t>
  </si>
  <si>
    <t xml:space="preserve">ОС ООО «НИЦ ТЕСТ» (RA.RU.11НВ63)</t>
  </si>
  <si>
    <t xml:space="preserve">АОСР № 3-СПС-КПП — прокладка кабельных линий</t>
  </si>
  <si>
    <t xml:space="preserve">Кабель КПСнг(А)-FRHF 1×2×0,75</t>
  </si>
  <si>
    <t xml:space="preserve">ООО «ТД «Технокабель-НН»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</si>
  <si>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</si>
  <si>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</si>
  <si>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</si>
  <si>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</si>
  <si>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</si>
  <si>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3-СПС-КПП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</si>
  <si>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</si>
  <si>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</si>
  <si>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</si>
  <si>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</si>
  <si>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</si>
  <si>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</si>
  <si>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ПАСПОРТ изготовителя (труба гофрированная ПВХ серая)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</si>
  <si>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</si>
  <si>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</si>
  <si>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</si>
  <si>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</si>
  <si>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Изготовитель «Промрукав»</t>
  </si>
  <si>
    <t xml:space="preserve">Коробка огнестойкая 40-0300-FR6.0-4, Е15–Е120, 100×100×50 мм</t>
  </si>
  <si>
    <t xml:space="preserve">СЕРТИФИКАТ СООТВЕТСТВИЯ (ТР ТС 004/2011) с приложением</t>
  </si>
  <si>
    <t xml:space="preserve">ЕАЭС RU C-RU.0010.В.00450/24</t>
  </si>
  <si>
    <t xml:space="preserve">27.12.2024</t>
  </si>
  <si>
    <t xml:space="preserve">по 26.12.2029 включительно</t>
  </si>
  <si>
    <t xml:space="preserve">ОС ООО «Центр охраны труда и экологии «ЭКСПЕРТЭГИДА»</t>
  </si>
  <si>
    <t xml:space="preserve">ПАСПОРТ изготовителя (коробка огнестойкая 100×100×50)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</si>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</sst>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4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2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4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46.2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20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3</v>
      </c>
      <c r="L17" s="7" t="s">
        <v>52</v>
      </c>
    </row>
    <row r="18" customFormat="false" ht="57.45" hidden="false" customHeight="false" outlineLevel="0" collapsed="false">
      <c r="A18" s="7" t="n">
        <v>5</v>
      </c>
      <c r="B18" s="8" t="s">
        <v>45</v>
      </c>
      <c r="C18" s="8" t="s">
        <v>46</v>
      </c>
      <c r="D18" s="7" t="s">
        <v>22</v>
      </c>
      <c r="E18" s="7" t="n">
        <v>20</v>
      </c>
      <c r="F18" s="8" t="s">
        <v>53</v>
      </c>
      <c r="G18" s="8" t="s">
        <v>54</v>
      </c>
      <c r="H18" s="7" t="s">
        <v>55</v>
      </c>
      <c r="I18" s="8" t="s">
        <v>56</v>
      </c>
      <c r="J18" s="8" t="s">
        <v>57</v>
      </c>
      <c r="K18" s="7" t="n">
        <v>2</v>
      </c>
      <c r="L18" s="7" t="s">
        <v>52</v>
      </c>
    </row>
    <row r="19" customFormat="false" ht="15" hidden="false" customHeight="false" outlineLevel="0" collapsed="false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35.05" hidden="false" customHeight="false" outlineLevel="0" collapsed="false">
      <c r="A20" s="7" t="n">
        <v>6</v>
      </c>
      <c r="B20" s="8" t="s">
        <v>59</v>
      </c>
      <c r="C20" s="8" t="s">
        <v>60</v>
      </c>
      <c r="D20" s="7" t="s">
        <v>22</v>
      </c>
      <c r="E20" s="7" t="n">
        <v>66</v>
      </c>
      <c r="F20" s="8" t="s">
        <v>61</v>
      </c>
      <c r="G20" s="8" t="s">
        <v>62</v>
      </c>
      <c r="H20" s="7" t="s">
        <v>63</v>
      </c>
      <c r="I20" s="8" t="s">
        <v>64</v>
      </c>
      <c r="J20" s="8" t="s">
        <v>65</v>
      </c>
      <c r="K20" s="7" t="n">
        <v>1</v>
      </c>
      <c r="L20" s="7" t="s">
        <v>66</v>
      </c>
    </row>
    <row r="21" customFormat="false" ht="46.25" hidden="false" customHeight="false" outlineLevel="0" collapsed="false">
      <c r="A21" s="7" t="n">
        <v>7</v>
      </c>
      <c r="B21" s="8" t="s">
        <v>67</v>
      </c>
      <c r="C21" s="8" t="s">
        <v>68</v>
      </c>
      <c r="D21" s="7" t="s">
        <v>22</v>
      </c>
      <c r="E21" s="7" t="n">
        <v>66</v>
      </c>
      <c r="F21" s="8" t="s">
        <v>47</v>
      </c>
      <c r="G21" s="8" t="s">
        <v>69</v>
      </c>
      <c r="H21" s="7" t="s">
        <v>70</v>
      </c>
      <c r="I21" s="8" t="s">
        <v>71</v>
      </c>
      <c r="J21" s="8" t="s">
        <v>72</v>
      </c>
      <c r="K21" s="7" t="n">
        <v>3</v>
      </c>
      <c r="L21" s="7" t="s">
        <v>66</v>
      </c>
    </row>
    <row r="22" customFormat="false" ht="35.05" hidden="false" customHeight="false" outlineLevel="0" collapsed="false">
      <c r="A22" s="7" t="n">
        <v>8</v>
      </c>
      <c r="B22" s="8" t="s">
        <v>67</v>
      </c>
      <c r="C22" s="8" t="s">
        <v>68</v>
      </c>
      <c r="D22" s="7" t="s">
        <v>22</v>
      </c>
      <c r="E22" s="7" t="n">
        <v>66</v>
      </c>
      <c r="F22" s="8" t="s">
        <v>73</v>
      </c>
      <c r="G22" s="8" t="s">
        <v>56</v>
      </c>
      <c r="H22" s="7" t="s">
        <v>56</v>
      </c>
      <c r="I22" s="8" t="s">
        <v>56</v>
      </c>
      <c r="J22" s="8" t="s">
        <v>68</v>
      </c>
      <c r="K22" s="7" t="n">
        <v>2</v>
      </c>
      <c r="L22" s="7" t="s">
        <v>66</v>
      </c>
    </row>
    <row r="23" customFormat="false" ht="23.85" hidden="false" customHeight="false" outlineLevel="0" collapsed="false">
      <c r="A23" s="7" t="n">
        <v>9</v>
      </c>
      <c r="B23" s="8" t="s">
        <v>74</v>
      </c>
      <c r="C23" s="8" t="s">
        <v>75</v>
      </c>
      <c r="D23" s="7" t="s">
        <v>76</v>
      </c>
      <c r="E23" s="7" t="n">
        <v>132</v>
      </c>
      <c r="F23" s="8" t="s">
        <v>77</v>
      </c>
      <c r="G23" s="8" t="s">
        <v>56</v>
      </c>
      <c r="H23" s="7" t="s">
        <v>56</v>
      </c>
      <c r="I23" s="8" t="s">
        <v>56</v>
      </c>
      <c r="J23" s="8" t="s">
        <v>78</v>
      </c>
      <c r="K23" s="7" t="n">
        <v>2</v>
      </c>
      <c r="L23" s="7" t="s">
        <v>66</v>
      </c>
    </row>
    <row r="24" customFormat="false" ht="35.05" hidden="false" customHeight="false" outlineLevel="0" collapsed="false">
      <c r="A24" s="7" t="n">
        <v>10</v>
      </c>
      <c r="B24" s="8" t="s">
        <v>79</v>
      </c>
      <c r="C24" s="8" t="s">
        <v>68</v>
      </c>
      <c r="D24" s="7" t="s">
        <v>76</v>
      </c>
      <c r="E24" s="7" t="n">
        <v>4</v>
      </c>
      <c r="F24" s="8" t="s">
        <v>80</v>
      </c>
      <c r="G24" s="8" t="s">
        <v>81</v>
      </c>
      <c r="H24" s="7" t="s">
        <v>82</v>
      </c>
      <c r="I24" s="8" t="s">
        <v>83</v>
      </c>
      <c r="J24" s="8" t="s">
        <v>84</v>
      </c>
      <c r="K24" s="7" t="n">
        <v>4</v>
      </c>
      <c r="L24" s="7" t="s">
        <v>66</v>
      </c>
    </row>
    <row r="25" customFormat="false" ht="35.05" hidden="false" customHeight="false" outlineLevel="0" collapsed="false">
      <c r="A25" s="7" t="n">
        <v>11</v>
      </c>
      <c r="B25" s="8" t="s">
        <v>79</v>
      </c>
      <c r="C25" s="8" t="s">
        <v>68</v>
      </c>
      <c r="D25" s="7" t="s">
        <v>76</v>
      </c>
      <c r="E25" s="7" t="n">
        <v>4</v>
      </c>
      <c r="F25" s="8" t="s">
        <v>85</v>
      </c>
      <c r="G25" s="8" t="s">
        <v>56</v>
      </c>
      <c r="H25" s="7" t="s">
        <v>56</v>
      </c>
      <c r="I25" s="8" t="s">
        <v>56</v>
      </c>
      <c r="J25" s="8" t="s">
        <v>68</v>
      </c>
      <c r="K25" s="7" t="n">
        <v>2</v>
      </c>
      <c r="L25" s="7" t="s">
        <v>66</v>
      </c>
    </row>
    <row r="27" customFormat="false" ht="15" hidden="false" customHeight="false" outlineLevel="0" collapsed="false">
      <c r="A27" s="9" t="str">
        <f aca="false">CONCATENATE("Всего позиций: ",COUNTA(B12:B25),"; листов копий: ",SUM(K12:K25))</f>
        <v>Всего позиций: 11; листов копий: 26</v>
      </c>
      <c r="B27" s="9"/>
      <c r="C27" s="9"/>
      <c r="D27" s="9"/>
      <c r="E27" s="9"/>
      <c r="F27" s="9"/>
    </row>
    <row r="29" customFormat="false" ht="15" hidden="false" customHeight="false" outlineLevel="0" collapsed="false">
      <c r="A29" s="9" t="s">
        <v>86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10" t="s">
        <v>87</v>
      </c>
      <c r="B30" s="10"/>
      <c r="C30" s="10"/>
      <c r="D30" s="10"/>
      <c r="E30" s="10"/>
      <c r="F30" s="10"/>
      <c r="G30" s="11" t="s">
        <v>88</v>
      </c>
      <c r="H30" s="11"/>
      <c r="I30" s="11"/>
      <c r="J30" s="11" t="s">
        <v>89</v>
      </c>
      <c r="K30" s="11"/>
      <c r="L30" s="11"/>
    </row>
    <row r="31" customFormat="false" ht="15" hidden="false" customHeight="false" outlineLevel="0" collapsed="false">
      <c r="G31" s="12" t="s">
        <v>90</v>
      </c>
      <c r="H31" s="12"/>
      <c r="I31" s="12"/>
    </row>
    <row r="33" customFormat="false" ht="15" hidden="false" customHeight="false" outlineLevel="0" collapsed="false">
      <c r="A33" s="9" t="s">
        <v>91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10" t="s">
        <v>92</v>
      </c>
      <c r="B34" s="10"/>
      <c r="C34" s="10"/>
      <c r="D34" s="10"/>
      <c r="E34" s="10"/>
      <c r="F34" s="10"/>
      <c r="G34" s="11" t="s">
        <v>88</v>
      </c>
      <c r="H34" s="11"/>
      <c r="I34" s="11"/>
      <c r="J34" s="11" t="s">
        <v>89</v>
      </c>
      <c r="K34" s="11"/>
      <c r="L34" s="11"/>
    </row>
    <row r="35" customFormat="false" ht="15" hidden="false" customHeight="false" outlineLevel="0" collapsed="false">
      <c r="G35" s="12" t="s">
        <v>90</v>
      </c>
      <c r="H35" s="12"/>
      <c r="I35" s="12"/>
    </row>
    <row r="37" customFormat="false" ht="30" hidden="false" customHeight="true" outlineLevel="0" collapsed="false">
      <c r="A37" s="13" t="s">
        <v>93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</sheetData>
  <mergeCells count="22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19:L19"/>
    <mergeCell ref="A27:F27"/>
    <mergeCell ref="A29:L29"/>
    <mergeCell ref="A30:F30"/>
    <mergeCell ref="G30:I30"/>
    <mergeCell ref="J30:L30"/>
    <mergeCell ref="G31:I31"/>
    <mergeCell ref="A33:L33"/>
    <mergeCell ref="A34:F34"/>
    <mergeCell ref="G34:I34"/>
    <mergeCell ref="J34:L34"/>
    <mergeCell ref="G35:I35"/>
    <mergeCell ref="A37:L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2026-10-29T16:24:16Z</dcterms:created>
  <dc:creator>openpyxl</dc:creator>
  <dc:description/>
  <dc:language>en-US</dc:language>
  <cp:lastModifiedBy/>
  <dcterms:modified xsi:type="dcterms:W3CDTF">2026-10-29T16:24:16Z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
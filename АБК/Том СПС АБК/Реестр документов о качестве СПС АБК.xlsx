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 СПС АБК" sheetId="1" state="visible" r:id="rId3"/>
  </sheets>
  <definedNames>
    <definedName function="false" hidden="false" localSheetId="0" name="_xlnm.Print_Titles" vbProcedure="false">'Реестр СПС АБК'!$10:$11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<sst xmlns="http://schemas.openxmlformats.org/spreadsheetml/2006/main" count="150" uniqueCount="102">
  <si>
    <t xml:space="preserve">Объект капитального строительства: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</si>
  <si>
    <t xml:space="preserve">Застройщик (технический заказчик): АНО «СОЮЗЭКСПЕРТИЗА» ТПП РФ, ОГРН 1027739381548, ИНН 7710310183</t>
  </si>
  <si>
    <t xml:space="preserve">Лицо, осуществляющее строительство: Индивидуальный предприниматель Белоногова Ольга Андреевна, ОГРНИП 315723200029770, ИНН 720200188305</t>
  </si>
  <si>
    <t xml:space="preserve">Лицо, выполнившее работы: ООО «АльтЭн», ОГРН 1024000944098, ИНН 4025062969</t>
  </si>
  <si>
    <t xml:space="preserve">Здание: АБК. Том ИД: СПС — система пожарной сигнализации и система оповещения и управления эвакуацией (АПС, СОУЭ). Рабочая документация 16/1/26-АПС,СОУЭ-Р. Исполнительная документация 16/1/26-ИД-АБК, лист 2–3; кабельный журнал 16/1/26-ИД-АБК.КЖ (раздел СПС)</t>
  </si>
  <si>
    <t xml:space="preserve">РЕЕСТР</t>
  </si>
  <si>
    <t xml:space="preserve">документов, подтверждающих качество и безопасность строительных материалов (изделий), применённых при выполнении работ, освидетельствованных актами № 1-СПС-АБК, 2-СПС-АБК, 3-СПС-АБК. Реестр является неотъемлемой частью указанных актов (п. 3 АОСР).</t>
  </si>
  <si>
    <t xml:space="preserve">№ п/п</t>
  </si>
  <si>
    <t xml:space="preserve">Наименование материала (изделия), марка, артикул</t>
  </si>
  <si>
    <t xml:space="preserve">Изготовитель</t>
  </si>
  <si>
    <t xml:space="preserve">Ед. изм.</t>
  </si>
  <si>
    <t xml:space="preserve">Кол-во</t>
  </si>
  <si>
    <t xml:space="preserve">Вид документа</t>
  </si>
  <si>
    <t xml:space="preserve">Номер документа</t>
  </si>
  <si>
    <t xml:space="preserve">Дата выдачи</t>
  </si>
  <si>
    <t xml:space="preserve">Срок действия</t>
  </si>
  <si>
    <t xml:space="preserve">Кем выдан</t>
  </si>
  <si>
    <t xml:space="preserve">Кол-во листов</t>
  </si>
  <si>
    <t xml:space="preserve">АОСР №</t>
  </si>
  <si>
    <t xml:space="preserve">АОСР № 1-СПС-АБК — монтаж и герметизация гильз</t>
  </si>
  <si>
    <t xml:space="preserve">Труба гладкая жёсткая ПВХ d20 мм, серая, арт. trg-20-2m (защитные гильзы)</t>
  </si>
  <si>
    <t xml:space="preserve">EKF</t>
  </si>
  <si>
    <t xml:space="preserve">м</t>
  </si>
  <si>
    <t xml:space="preserve">СЕРТИФИКАТ СООТВЕТСТВИЯ (ТР ЕАЭС 043/2017) с приложениями № 1–3</t>
  </si>
  <si>
    <t xml:space="preserve">ЕАЭС RU C-RU.ПБ68.В.00888/22</t>
  </si>
  <si>
    <t xml:space="preserve">15.03.2022</t>
  </si>
  <si>
    <t xml:space="preserve">по 14.03.2027 включительно</t>
  </si>
  <si>
    <t xml:space="preserve">ОС ООО «Пожарная Сертификационная Компания»</t>
  </si>
  <si>
    <t xml:space="preserve">1-СПС-АБК</t>
  </si>
  <si>
    <t xml:space="preserve">Пена монтажная огнестойкая профессиональная «ОГНЕЗА», EI24, 935 г, арт. 105248</t>
  </si>
  <si>
    <t xml:space="preserve">ООО «ОГНЕЗА»</t>
  </si>
  <si>
    <t xml:space="preserve">баллон</t>
  </si>
  <si>
    <t xml:space="preserve">СЕРТИФИКАТ СООТВЕТСТВИЯ (добровольная сертификация)</t>
  </si>
  <si>
    <t xml:space="preserve">ССБК BY.ПБ10.Н00558</t>
  </si>
  <si>
    <t xml:space="preserve">23.08.2024</t>
  </si>
  <si>
    <t xml:space="preserve">по 22.08.2029</t>
  </si>
  <si>
    <t xml:space="preserve">ОС «Полисерт» АНО «Электросерт»</t>
  </si>
  <si>
    <t xml:space="preserve">Герметик акриловый противопожарный «ОГНЕЗА-ВГ», 310 мл, арт. 105031</t>
  </si>
  <si>
    <t xml:space="preserve">картридж</t>
  </si>
  <si>
    <t xml:space="preserve">СЕРТИФИКАТ СООТВЕТСТВИЯ (добровольная сертификация) с приложением</t>
  </si>
  <si>
    <t xml:space="preserve">НСОПБ.RU.ЭО.ПР.254.Н.00072</t>
  </si>
  <si>
    <t xml:space="preserve">14.04.2025</t>
  </si>
  <si>
    <t xml:space="preserve">по 13.04.2030</t>
  </si>
  <si>
    <t xml:space="preserve">ОС ООО «Международный Сертификационный Альянс»</t>
  </si>
  <si>
    <t xml:space="preserve">АОСР № 2-СПС-АБК — монтаж кабеленесущей системы</t>
  </si>
  <si>
    <t xml:space="preserve">Кабель-канал магистральный 25×16 ЭЛЕКОР</t>
  </si>
  <si>
    <t xml:space="preserve">АО «ИЭК ХОЛДИНГ» (IEK)</t>
  </si>
  <si>
    <t xml:space="preserve">СЕРТИФИКАТ СООТВЕТСТВИЯ (ТР ЕАЭС 043/2017) с приложениями № 1–2</t>
  </si>
  <si>
    <t xml:space="preserve">ЕАЭС RU C-RU.НВ88.В.00177/25</t>
  </si>
  <si>
    <t xml:space="preserve">19.02.2025</t>
  </si>
  <si>
    <t xml:space="preserve">по 27.09.2028 включительно</t>
  </si>
  <si>
    <t xml:space="preserve">ОС ООО «Национальная Лаборатория» (RA.RU.11НВ88)</t>
  </si>
  <si>
    <t xml:space="preserve">2-СПС-АБК</t>
  </si>
  <si>
    <t xml:space="preserve">РЕШЕНИЕ органа по сертификации об отказе (ТР ТС 004/2011, ТР ТС 020/2011, ТР ЕАЭС 037/2016 не распространяются)</t>
  </si>
  <si>
    <t xml:space="preserve">№ 3035</t>
  </si>
  <si>
    <t xml:space="preserve">23.11.2022</t>
  </si>
  <si>
    <t xml:space="preserve">—</t>
  </si>
  <si>
    <t xml:space="preserve">ОС ООО «НИЦ ТЕСТ» (RA.RU.11НВ63)</t>
  </si>
  <si>
    <t xml:space="preserve">АОСР № 3-СПС-АБК — прокладка кабельных линий</t>
  </si>
  <si>
    <t xml:space="preserve">Кабель КПСнг(А)-FRHF 1×2×0,5</t>
  </si>
  <si>
    <t xml:space="preserve">ООО «ТД «Технокабель-НН»</t>
  </si>
  <si>
    <t xml:space="preserve">СЕРТИФИКАТ СООТВЕТСТВИЯ (ТР ТС 004/2011)</t>
  </si>
  <si>
    <t xml:space="preserve">ЕАЭС RU C-RU.АЮ64.В.00884/26</t>
  </si>
  <si>
    <t xml:space="preserve">15.07.2026</t>
  </si>
  <si>
    <t xml:space="preserve">по 01.09.2030 включительно</t>
  </si>
  <si>
    <t xml:space="preserve">ОС «ПОЛИСЕРТ» АНО «Электросерт» (RA.RU.10АЮ64)</t>
  </si>
  <si>
    <t xml:space="preserve">3-СПС-АБК</t>
  </si>
  <si>
    <t xml:space="preserve">ПАСПОРТ КАЧЕСТВА, партия № 81</t>
  </si>
  <si>
    <t xml:space="preserve">№ 81</t>
  </si>
  <si>
    <t xml:space="preserve">08.2026</t>
  </si>
  <si>
    <t xml:space="preserve">ОТК ООО «ТД «Технокабель-НН»</t>
  </si>
  <si>
    <t xml:space="preserve">Кабель КПСнг(А)-FRHF 1×2×1</t>
  </si>
  <si>
    <t xml:space="preserve">Кабель витая пара ParLan U/UTP Cat 5e 4×2×0,52 PVC</t>
  </si>
  <si>
    <t xml:space="preserve">ООО «ТПД Паритет»</t>
  </si>
  <si>
    <t xml:space="preserve">СЕРТИФИКАТ СООТВЕТСТВИЯ (ТР ТС 004/2011) с приложением</t>
  </si>
  <si>
    <t xml:space="preserve">ЕАЭС RU C-RU.АЮ64.В.00680/25</t>
  </si>
  <si>
    <t xml:space="preserve">17.01.2025</t>
  </si>
  <si>
    <t xml:space="preserve">по 16.01.2030 включительно</t>
  </si>
  <si>
    <t xml:space="preserve">СЕРТИФИКАТ СООТВЕТСТВИЯ (обязательная сертификация, 123-ФЗ) с приложением № 1</t>
  </si>
  <si>
    <t xml:space="preserve">RU C-RU.АЮ64.В.00546/24</t>
  </si>
  <si>
    <t xml:space="preserve">17.12.2024</t>
  </si>
  <si>
    <t xml:space="preserve">по 16.12.2029</t>
  </si>
  <si>
    <t xml:space="preserve">Труба гофрированная ПВХ серая с/з d20 мм «Строитель», арт. PR.032000</t>
  </si>
  <si>
    <t xml:space="preserve">«Промрукав» (ООО «НЕПТУН»)</t>
  </si>
  <si>
    <t xml:space="preserve">ЕАЭС RU C-RU.ПБ74.В.00766/23</t>
  </si>
  <si>
    <t xml:space="preserve">30.08.2023</t>
  </si>
  <si>
    <t xml:space="preserve">по 25.05.2027 включительно</t>
  </si>
  <si>
    <t xml:space="preserve">ОС «СЗРЦ СЕРТ»</t>
  </si>
  <si>
    <t xml:space="preserve">ПАСПОРТ изготовителя (труба гофрированная ПВХ серая)</t>
  </si>
  <si>
    <t xml:space="preserve">Скоба металлическая однолапковая СМО 19-20, арт. PR08.2534</t>
  </si>
  <si>
    <t xml:space="preserve">«Промрукав»</t>
  </si>
  <si>
    <t xml:space="preserve">шт.</t>
  </si>
  <si>
    <t xml:space="preserve">ПАСПОРТ</t>
  </si>
  <si>
    <t xml:space="preserve">Изготовитель «Промрукав»</t>
  </si>
  <si>
    <t xml:space="preserve">Представитель лица, осуществляющего строительство</t>
  </si>
  <si>
    <t xml:space="preserve">руководитель проекта Белоногов И.Ю.</t>
  </si>
  <si>
    <t xml:space="preserve">_______________________</t>
  </si>
  <si>
    <t xml:space="preserve">«____» ____________ 2026 г.</t>
  </si>
  <si>
    <t xml:space="preserve">(подпись)</t>
  </si>
  <si>
    <t xml:space="preserve">Представитель лица, выполнившего работы, подлежащие освидетельствованию</t>
  </si>
  <si>
    <t xml:space="preserve">начальник отдела систем технической безопасности ООО «АльтЭн» Иванчук М.В.</t>
  </si>
  <si>
    <t xml:space="preserve">Основание: приказ Минстроя России от 16.05.2023 № 344/пр, форма АОСР, п. 3 (реквизиты документов о качестве допускается оформлять реестром, являющимся неотъемлемой частью акта). Копии документов прилагаются в порядке нумерации реестра.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</si>
</sst>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0"/>
      <charset val="1"/>
    </font>
    <font>
      <b val="true"/>
      <sz val="13"/>
      <name val="Times New Roman"/>
      <family val="0"/>
      <charset val="1"/>
    </font>
    <font>
      <b val="true"/>
      <sz val="11"/>
      <name val="Times New Roman"/>
      <family val="0"/>
      <charset val="1"/>
    </font>
    <font>
      <b val="true"/>
      <sz val="10"/>
      <name val="Times New Roman"/>
      <family val="0"/>
      <charset val="1"/>
    </font>
    <font>
      <sz val="9"/>
      <name val="Times New Roman"/>
      <family val="0"/>
      <charset val="1"/>
    </font>
    <font>
      <i val="true"/>
      <sz val="10"/>
      <name val="Times New Roman"/>
      <family val="0"/>
      <charset val="1"/>
    </font>
    <font>
      <i val="true"/>
      <sz val="8"/>
      <name val="Times New Roman"/>
      <family val="0"/>
      <charset val="1"/>
    </font>
    <font>
      <i val="true"/>
      <sz val="9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6" min="6" style="0" width="24"/>
    <col collapsed="false" customWidth="true" hidden="false" outlineLevel="0" max="7" min="7" style="0" width="28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28"/>
    <col collapsed="false" customWidth="true" hidden="false" outlineLevel="0" max="11" min="11" style="0" width="8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true" outlineLevel="0" collapsed="false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true" outlineLevel="0" collapsed="false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27.75" hidden="false" customHeight="true" outlineLevel="0" collapsed="false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7" customFormat="false" ht="19.5" hidden="false" customHeight="true" outlineLevel="0" collapsed="false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33.75" hidden="false" customHeight="true" outlineLevel="0" collapsed="false">
      <c r="A8" s="3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10" customFormat="false" ht="42" hidden="false" customHeight="true" outlineLevel="0" collapsed="false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  <c r="L10" s="4" t="s">
        <v>18</v>
      </c>
    </row>
    <row r="11" customFormat="false" ht="15" hidden="false" customHeight="false" outlineLevel="0" collapsed="false">
      <c r="A11" s="5" t="n">
        <v>1</v>
      </c>
      <c r="B11" s="5" t="n">
        <v>2</v>
      </c>
      <c r="C11" s="5" t="n">
        <v>3</v>
      </c>
      <c r="D11" s="5" t="n">
        <v>4</v>
      </c>
      <c r="E11" s="5" t="n">
        <v>5</v>
      </c>
      <c r="F11" s="5" t="n">
        <v>6</v>
      </c>
      <c r="G11" s="5" t="n">
        <v>7</v>
      </c>
      <c r="H11" s="5" t="n">
        <v>8</v>
      </c>
      <c r="I11" s="5" t="n">
        <v>9</v>
      </c>
      <c r="J11" s="5" t="n">
        <v>10</v>
      </c>
      <c r="K11" s="5" t="n">
        <v>11</v>
      </c>
      <c r="L11" s="5" t="n">
        <v>12</v>
      </c>
    </row>
    <row r="12" customFormat="false" ht="15" hidden="false" customHeight="false" outlineLevel="0" collapsed="false">
      <c r="A12" s="6" t="s">
        <v>19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46.25" hidden="false" customHeight="false" outlineLevel="0" collapsed="false">
      <c r="A13" s="7" t="n">
        <v>1</v>
      </c>
      <c r="B13" s="8" t="s">
        <v>20</v>
      </c>
      <c r="C13" s="8" t="s">
        <v>21</v>
      </c>
      <c r="D13" s="7" t="s">
        <v>22</v>
      </c>
      <c r="E13" s="7" t="n">
        <v>5.3</v>
      </c>
      <c r="F13" s="8" t="s">
        <v>23</v>
      </c>
      <c r="G13" s="8" t="s">
        <v>24</v>
      </c>
      <c r="H13" s="7" t="s">
        <v>25</v>
      </c>
      <c r="I13" s="8" t="s">
        <v>26</v>
      </c>
      <c r="J13" s="8" t="s">
        <v>27</v>
      </c>
      <c r="K13" s="7" t="n">
        <v>4</v>
      </c>
      <c r="L13" s="7" t="s">
        <v>28</v>
      </c>
    </row>
    <row r="14" customFormat="false" ht="35.05" hidden="false" customHeight="false" outlineLevel="0" collapsed="false">
      <c r="A14" s="7" t="n">
        <v>2</v>
      </c>
      <c r="B14" s="8" t="s">
        <v>29</v>
      </c>
      <c r="C14" s="8" t="s">
        <v>30</v>
      </c>
      <c r="D14" s="7" t="s">
        <v>31</v>
      </c>
      <c r="E14" s="7" t="n">
        <v>1</v>
      </c>
      <c r="F14" s="8" t="s">
        <v>32</v>
      </c>
      <c r="G14" s="8" t="s">
        <v>33</v>
      </c>
      <c r="H14" s="7" t="s">
        <v>34</v>
      </c>
      <c r="I14" s="8" t="s">
        <v>35</v>
      </c>
      <c r="J14" s="8" t="s">
        <v>36</v>
      </c>
      <c r="K14" s="7" t="n">
        <v>1</v>
      </c>
      <c r="L14" s="7" t="s">
        <v>28</v>
      </c>
    </row>
    <row r="15" customFormat="false" ht="46.25" hidden="false" customHeight="false" outlineLevel="0" collapsed="false">
      <c r="A15" s="7" t="n">
        <v>3</v>
      </c>
      <c r="B15" s="8" t="s">
        <v>37</v>
      </c>
      <c r="C15" s="8" t="s">
        <v>30</v>
      </c>
      <c r="D15" s="7" t="s">
        <v>38</v>
      </c>
      <c r="E15" s="7" t="n">
        <v>1</v>
      </c>
      <c r="F15" s="8" t="s">
        <v>39</v>
      </c>
      <c r="G15" s="8" t="s">
        <v>40</v>
      </c>
      <c r="H15" s="7" t="s">
        <v>41</v>
      </c>
      <c r="I15" s="8" t="s">
        <v>42</v>
      </c>
      <c r="J15" s="8" t="s">
        <v>43</v>
      </c>
      <c r="K15" s="7" t="n">
        <v>2</v>
      </c>
      <c r="L15" s="7" t="s">
        <v>28</v>
      </c>
    </row>
    <row r="16" customFormat="false" ht="15" hidden="false" customHeight="false" outlineLevel="0" collapsed="false">
      <c r="A16" s="6" t="s">
        <v>44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46.25" hidden="false" customHeight="false" outlineLevel="0" collapsed="false">
      <c r="A17" s="7" t="n">
        <v>4</v>
      </c>
      <c r="B17" s="8" t="s">
        <v>45</v>
      </c>
      <c r="C17" s="8" t="s">
        <v>46</v>
      </c>
      <c r="D17" s="7" t="s">
        <v>22</v>
      </c>
      <c r="E17" s="7" t="n">
        <v>15</v>
      </c>
      <c r="F17" s="8" t="s">
        <v>47</v>
      </c>
      <c r="G17" s="8" t="s">
        <v>48</v>
      </c>
      <c r="H17" s="7" t="s">
        <v>49</v>
      </c>
      <c r="I17" s="8" t="s">
        <v>50</v>
      </c>
      <c r="J17" s="8" t="s">
        <v>51</v>
      </c>
      <c r="K17" s="7" t="n">
        <v>3</v>
      </c>
      <c r="L17" s="7" t="s">
        <v>52</v>
      </c>
    </row>
    <row r="18" customFormat="false" ht="57.45" hidden="false" customHeight="false" outlineLevel="0" collapsed="false">
      <c r="A18" s="7" t="n">
        <v>5</v>
      </c>
      <c r="B18" s="8" t="s">
        <v>45</v>
      </c>
      <c r="C18" s="8" t="s">
        <v>46</v>
      </c>
      <c r="D18" s="7" t="s">
        <v>22</v>
      </c>
      <c r="E18" s="7" t="n">
        <v>15</v>
      </c>
      <c r="F18" s="8" t="s">
        <v>53</v>
      </c>
      <c r="G18" s="8" t="s">
        <v>54</v>
      </c>
      <c r="H18" s="7" t="s">
        <v>55</v>
      </c>
      <c r="I18" s="8" t="s">
        <v>56</v>
      </c>
      <c r="J18" s="8" t="s">
        <v>57</v>
      </c>
      <c r="K18" s="7" t="n">
        <v>2</v>
      </c>
      <c r="L18" s="7" t="s">
        <v>52</v>
      </c>
    </row>
    <row r="19" customFormat="false" ht="15" hidden="false" customHeight="false" outlineLevel="0" collapsed="false">
      <c r="A19" s="6" t="s">
        <v>58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35.05" hidden="false" customHeight="false" outlineLevel="0" collapsed="false">
      <c r="A20" s="7" t="n">
        <v>6</v>
      </c>
      <c r="B20" s="8" t="s">
        <v>59</v>
      </c>
      <c r="C20" s="8" t="s">
        <v>60</v>
      </c>
      <c r="D20" s="7" t="s">
        <v>22</v>
      </c>
      <c r="E20" s="7" t="n">
        <v>168</v>
      </c>
      <c r="F20" s="8" t="s">
        <v>61</v>
      </c>
      <c r="G20" s="8" t="s">
        <v>62</v>
      </c>
      <c r="H20" s="7" t="s">
        <v>63</v>
      </c>
      <c r="I20" s="8" t="s">
        <v>64</v>
      </c>
      <c r="J20" s="8" t="s">
        <v>65</v>
      </c>
      <c r="K20" s="7" t="n">
        <v>1</v>
      </c>
      <c r="L20" s="7" t="s">
        <v>66</v>
      </c>
    </row>
    <row r="21" customFormat="false" ht="23.85" hidden="false" customHeight="false" outlineLevel="0" collapsed="false">
      <c r="A21" s="7" t="n">
        <v>7</v>
      </c>
      <c r="B21" s="8" t="s">
        <v>59</v>
      </c>
      <c r="C21" s="8" t="s">
        <v>60</v>
      </c>
      <c r="D21" s="7" t="s">
        <v>22</v>
      </c>
      <c r="E21" s="7" t="n">
        <v>168</v>
      </c>
      <c r="F21" s="8" t="s">
        <v>67</v>
      </c>
      <c r="G21" s="8" t="s">
        <v>68</v>
      </c>
      <c r="H21" s="7" t="s">
        <v>69</v>
      </c>
      <c r="I21" s="8" t="s">
        <v>56</v>
      </c>
      <c r="J21" s="8" t="s">
        <v>70</v>
      </c>
      <c r="K21" s="7" t="n">
        <v>1</v>
      </c>
      <c r="L21" s="7" t="s">
        <v>66</v>
      </c>
    </row>
    <row r="22" customFormat="false" ht="35.05" hidden="false" customHeight="false" outlineLevel="0" collapsed="false">
      <c r="A22" s="7" t="n">
        <v>8</v>
      </c>
      <c r="B22" s="8" t="s">
        <v>71</v>
      </c>
      <c r="C22" s="8" t="s">
        <v>60</v>
      </c>
      <c r="D22" s="7" t="s">
        <v>22</v>
      </c>
      <c r="E22" s="7" t="n">
        <v>130</v>
      </c>
      <c r="F22" s="8" t="s">
        <v>61</v>
      </c>
      <c r="G22" s="8" t="s">
        <v>62</v>
      </c>
      <c r="H22" s="7" t="s">
        <v>63</v>
      </c>
      <c r="I22" s="8" t="s">
        <v>64</v>
      </c>
      <c r="J22" s="8" t="s">
        <v>65</v>
      </c>
      <c r="K22" s="7" t="n">
        <v>1</v>
      </c>
      <c r="L22" s="7" t="s">
        <v>66</v>
      </c>
    </row>
    <row r="23" customFormat="false" ht="35.05" hidden="false" customHeight="false" outlineLevel="0" collapsed="false">
      <c r="A23" s="7" t="n">
        <v>9</v>
      </c>
      <c r="B23" s="8" t="s">
        <v>72</v>
      </c>
      <c r="C23" s="8" t="s">
        <v>73</v>
      </c>
      <c r="D23" s="7" t="s">
        <v>22</v>
      </c>
      <c r="E23" s="7" t="n">
        <v>15</v>
      </c>
      <c r="F23" s="8" t="s">
        <v>74</v>
      </c>
      <c r="G23" s="8" t="s">
        <v>75</v>
      </c>
      <c r="H23" s="7" t="s">
        <v>76</v>
      </c>
      <c r="I23" s="8" t="s">
        <v>77</v>
      </c>
      <c r="J23" s="8" t="s">
        <v>65</v>
      </c>
      <c r="K23" s="7" t="n">
        <v>2</v>
      </c>
      <c r="L23" s="7" t="s">
        <v>66</v>
      </c>
    </row>
    <row r="24" customFormat="false" ht="46.25" hidden="false" customHeight="false" outlineLevel="0" collapsed="false">
      <c r="A24" s="7" t="n">
        <v>10</v>
      </c>
      <c r="B24" s="8" t="s">
        <v>72</v>
      </c>
      <c r="C24" s="8" t="s">
        <v>73</v>
      </c>
      <c r="D24" s="7" t="s">
        <v>22</v>
      </c>
      <c r="E24" s="7" t="n">
        <v>15</v>
      </c>
      <c r="F24" s="8" t="s">
        <v>78</v>
      </c>
      <c r="G24" s="8" t="s">
        <v>79</v>
      </c>
      <c r="H24" s="7" t="s">
        <v>80</v>
      </c>
      <c r="I24" s="8" t="s">
        <v>81</v>
      </c>
      <c r="J24" s="8" t="s">
        <v>65</v>
      </c>
      <c r="K24" s="7" t="n">
        <v>2</v>
      </c>
      <c r="L24" s="7" t="s">
        <v>66</v>
      </c>
    </row>
    <row r="25" customFormat="false" ht="46.25" hidden="false" customHeight="false" outlineLevel="0" collapsed="false">
      <c r="A25" s="7" t="n">
        <v>11</v>
      </c>
      <c r="B25" s="8" t="s">
        <v>82</v>
      </c>
      <c r="C25" s="8" t="s">
        <v>83</v>
      </c>
      <c r="D25" s="7" t="s">
        <v>22</v>
      </c>
      <c r="E25" s="7" t="n">
        <v>313</v>
      </c>
      <c r="F25" s="8" t="s">
        <v>47</v>
      </c>
      <c r="G25" s="8" t="s">
        <v>84</v>
      </c>
      <c r="H25" s="7" t="s">
        <v>85</v>
      </c>
      <c r="I25" s="8" t="s">
        <v>86</v>
      </c>
      <c r="J25" s="8" t="s">
        <v>87</v>
      </c>
      <c r="K25" s="7" t="n">
        <v>3</v>
      </c>
      <c r="L25" s="7" t="s">
        <v>66</v>
      </c>
    </row>
    <row r="26" customFormat="false" ht="35.05" hidden="false" customHeight="false" outlineLevel="0" collapsed="false">
      <c r="A26" s="7" t="n">
        <v>12</v>
      </c>
      <c r="B26" s="8" t="s">
        <v>82</v>
      </c>
      <c r="C26" s="8" t="s">
        <v>83</v>
      </c>
      <c r="D26" s="7" t="s">
        <v>22</v>
      </c>
      <c r="E26" s="7" t="n">
        <v>313</v>
      </c>
      <c r="F26" s="8" t="s">
        <v>88</v>
      </c>
      <c r="G26" s="8" t="s">
        <v>56</v>
      </c>
      <c r="H26" s="7" t="s">
        <v>56</v>
      </c>
      <c r="I26" s="8" t="s">
        <v>56</v>
      </c>
      <c r="J26" s="8" t="s">
        <v>83</v>
      </c>
      <c r="K26" s="7" t="n">
        <v>2</v>
      </c>
      <c r="L26" s="7" t="s">
        <v>66</v>
      </c>
    </row>
    <row r="27" customFormat="false" ht="23.85" hidden="false" customHeight="false" outlineLevel="0" collapsed="false">
      <c r="A27" s="7" t="n">
        <v>13</v>
      </c>
      <c r="B27" s="8" t="s">
        <v>89</v>
      </c>
      <c r="C27" s="8" t="s">
        <v>90</v>
      </c>
      <c r="D27" s="7" t="s">
        <v>91</v>
      </c>
      <c r="E27" s="7" t="n">
        <v>600</v>
      </c>
      <c r="F27" s="8" t="s">
        <v>92</v>
      </c>
      <c r="G27" s="8" t="s">
        <v>56</v>
      </c>
      <c r="H27" s="7" t="s">
        <v>56</v>
      </c>
      <c r="I27" s="8" t="s">
        <v>56</v>
      </c>
      <c r="J27" s="8" t="s">
        <v>93</v>
      </c>
      <c r="K27" s="7" t="n">
        <v>2</v>
      </c>
      <c r="L27" s="7" t="s">
        <v>66</v>
      </c>
    </row>
    <row r="29" customFormat="false" ht="15" hidden="false" customHeight="false" outlineLevel="0" collapsed="false">
      <c r="A29" s="9" t="str">
        <f aca="false">CONCATENATE("Всего позиций: ",COUNTA(B12:B27),"; листов копий: ",SUM(K12:K27))</f>
        <v>Всего позиций: 13; листов копий: 26</v>
      </c>
      <c r="B29" s="9"/>
      <c r="C29" s="9"/>
      <c r="D29" s="9"/>
      <c r="E29" s="9"/>
      <c r="F29" s="9"/>
    </row>
    <row r="31" customFormat="false" ht="15" hidden="false" customHeight="false" outlineLevel="0" collapsed="false">
      <c r="A31" s="9" t="s">
        <v>94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customFormat="false" ht="15" hidden="false" customHeight="false" outlineLevel="0" collapsed="false">
      <c r="A32" s="10" t="s">
        <v>95</v>
      </c>
      <c r="B32" s="10"/>
      <c r="C32" s="10"/>
      <c r="D32" s="10"/>
      <c r="E32" s="10"/>
      <c r="F32" s="10"/>
      <c r="G32" s="11" t="s">
        <v>96</v>
      </c>
      <c r="H32" s="11"/>
      <c r="I32" s="11"/>
      <c r="J32" s="11" t="s">
        <v>97</v>
      </c>
      <c r="K32" s="11"/>
      <c r="L32" s="11"/>
    </row>
    <row r="33" customFormat="false" ht="15" hidden="false" customHeight="false" outlineLevel="0" collapsed="false">
      <c r="G33" s="12" t="s">
        <v>98</v>
      </c>
      <c r="H33" s="12"/>
      <c r="I33" s="12"/>
    </row>
    <row r="35" customFormat="false" ht="15" hidden="false" customHeight="false" outlineLevel="0" collapsed="false">
      <c r="A35" s="9" t="s">
        <v>99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customFormat="false" ht="15" hidden="false" customHeight="false" outlineLevel="0" collapsed="false">
      <c r="A36" s="10" t="s">
        <v>100</v>
      </c>
      <c r="B36" s="10"/>
      <c r="C36" s="10"/>
      <c r="D36" s="10"/>
      <c r="E36" s="10"/>
      <c r="F36" s="10"/>
      <c r="G36" s="11" t="s">
        <v>96</v>
      </c>
      <c r="H36" s="11"/>
      <c r="I36" s="11"/>
      <c r="J36" s="11" t="s">
        <v>97</v>
      </c>
      <c r="K36" s="11"/>
      <c r="L36" s="11"/>
    </row>
    <row r="37" customFormat="false" ht="15" hidden="false" customHeight="false" outlineLevel="0" collapsed="false">
      <c r="G37" s="12" t="s">
        <v>98</v>
      </c>
      <c r="H37" s="12"/>
      <c r="I37" s="12"/>
    </row>
    <row r="39" customFormat="false" ht="30" hidden="false" customHeight="true" outlineLevel="0" collapsed="false">
      <c r="A39" s="13" t="s">
        <v>101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</sheetData>
  <mergeCells count="22">
    <mergeCell ref="A1:L1"/>
    <mergeCell ref="A2:L2"/>
    <mergeCell ref="A3:L3"/>
    <mergeCell ref="A4:L4"/>
    <mergeCell ref="A5:L5"/>
    <mergeCell ref="A7:L7"/>
    <mergeCell ref="A8:L8"/>
    <mergeCell ref="A12:L12"/>
    <mergeCell ref="A16:L16"/>
    <mergeCell ref="A19:L19"/>
    <mergeCell ref="A29:F29"/>
    <mergeCell ref="A31:L31"/>
    <mergeCell ref="A32:F32"/>
    <mergeCell ref="G32:I32"/>
    <mergeCell ref="J32:L32"/>
    <mergeCell ref="G33:I33"/>
    <mergeCell ref="A35:L35"/>
    <mergeCell ref="A36:F36"/>
    <mergeCell ref="G36:I36"/>
    <mergeCell ref="J36:L36"/>
    <mergeCell ref="G37:I37"/>
    <mergeCell ref="A39:L39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2026-10-29T17:15:34Z</dcterms:created>
  <dc:creator>openpyxl</dc:creator>
  <dc:description/>
  <dc:language>en-US</dc:language>
  <cp:lastModifiedBy/>
  <dcterms:modified xsi:type="dcterms:W3CDTF">2026-10-29T17:15:34Z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
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СОТС АБК" sheetId="1" state="visible" r:id="rId1"/>
  </sheets>
  <definedNames>
    <definedName name="_xlnm.Print_Titles" localSheetId="0">'Реестр СОТС АБК'!$10:$11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b val="1"/>
      <sz val="10"/>
    </font>
    <font>
      <name val="Times New Roman"/>
      <sz val="9"/>
    </font>
    <font>
      <name val="Times New Roman"/>
      <i val="1"/>
      <sz val="10"/>
    </font>
    <font>
      <name val="Times New Roman"/>
      <i val="1"/>
      <sz val="8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8" customWidth="1" min="4" max="4"/>
    <col width="8" customWidth="1" min="5" max="5"/>
    <col width="24" customWidth="1" min="6" max="6"/>
    <col width="28" customWidth="1" min="7" max="7"/>
    <col width="11" customWidth="1" min="8" max="8"/>
    <col width="18" customWidth="1" min="9" max="9"/>
    <col width="28" customWidth="1" min="10" max="10"/>
    <col width="8" customWidth="1" min="11" max="11"/>
    <col width="14" customWidth="1" min="12" max="12"/>
  </cols>
  <sheetData>
    <row r="1" ht="28" customHeight="1">
      <c r="A1" s="1" t="inlineStr">
        <is>
          <t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2">
      <c r="A2" s="1" t="inlineStr">
        <is>
          <t>Застройщик (технический заказчик): АНО «СОЮЗЭКСПЕРТИЗА» ТПП РФ, ОГРН 1027739381548, ИНН 7710310183</t>
        </is>
      </c>
    </row>
    <row r="3">
      <c r="A3" s="1" t="inlineStr">
        <is>
          <t>Лицо, осуществляющее строительство: Индивидуальный предприниматель Белоногова Ольга Андреевна, ОГРНИП 315723200029770, ИНН 720200188305</t>
        </is>
      </c>
    </row>
    <row r="4">
      <c r="A4" s="1" t="inlineStr">
        <is>
          <t>Лицо, выполнившее работы: ООО «АльтЭн», ОГРН 1024000944098, ИНН 4025062969</t>
        </is>
      </c>
    </row>
    <row r="5" ht="28" customHeight="1">
      <c r="A5" s="1" t="inlineStr">
        <is>
          <t>Здание: АБК. Том ИД: СОТС — система охранной и тревожной сигнализации (СОТС). Рабочая документация 16/1/26-СОТС-Р. Исполнительная документация 16/1/26-СОТС-ИД-АБК, лист 2; кабельный журнал 16/1/26-СОТС-ИД-АБК.КЖ; спецификация 16/1/26-СОТС-ИД-АБК.СО</t>
        </is>
      </c>
    </row>
    <row r="7" ht="20" customHeight="1">
      <c r="A7" s="2" t="inlineStr">
        <is>
          <t>РЕЕСТР</t>
        </is>
      </c>
    </row>
    <row r="8" ht="34" customHeight="1">
      <c r="A8" s="3" t="inlineStr">
        <is>
          <t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1-СОТС-АБК, 2-СОТС-АБК, 3-СОТС-АБК. Реестр является неотъемлемой частью указанных актов (п. 3 АОСР).</t>
        </is>
      </c>
    </row>
    <row r="10" ht="42" customHeight="1">
      <c r="A10" s="4" t="inlineStr">
        <is>
          <t>№ п/п</t>
        </is>
      </c>
      <c r="B10" s="4" t="inlineStr">
        <is>
          <t>Наименование материала (изделия), марка, артикул</t>
        </is>
      </c>
      <c r="C10" s="4" t="inlineStr">
        <is>
          <t>Изготовитель</t>
        </is>
      </c>
      <c r="D10" s="4" t="inlineStr">
        <is>
          <t>Ед. изм.</t>
        </is>
      </c>
      <c r="E10" s="4" t="inlineStr">
        <is>
          <t>Кол-во</t>
        </is>
      </c>
      <c r="F10" s="4" t="inlineStr">
        <is>
          <t>Вид документа</t>
        </is>
      </c>
      <c r="G10" s="4" t="inlineStr">
        <is>
          <t>Номер документа</t>
        </is>
      </c>
      <c r="H10" s="4" t="inlineStr">
        <is>
          <t>Дата выдачи</t>
        </is>
      </c>
      <c r="I10" s="4" t="inlineStr">
        <is>
          <t>Срок действия</t>
        </is>
      </c>
      <c r="J10" s="4" t="inlineStr">
        <is>
          <t>Кем выдан</t>
        </is>
      </c>
      <c r="K10" s="4" t="inlineStr">
        <is>
          <t>Кол-во листов</t>
        </is>
      </c>
      <c r="L10" s="4" t="inlineStr">
        <is>
          <t>АОСР №</t>
        </is>
      </c>
    </row>
    <row r="11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>
      <c r="A12" s="6" t="inlineStr">
        <is>
          <t>АОСР № 1-СОТС-АБК — монтаж и герметизация гильз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8" t="n">
        <v>1</v>
      </c>
      <c r="B13" s="9" t="inlineStr">
        <is>
          <t>Труба гладкая жёсткая ПВХ d20 мм, серая, арт. trg-20-2m (защитные гильзы)</t>
        </is>
      </c>
      <c r="C13" s="9" t="inlineStr">
        <is>
          <t>EKF</t>
        </is>
      </c>
      <c r="D13" s="8" t="inlineStr">
        <is>
          <t>м</t>
        </is>
      </c>
      <c r="E13" s="8" t="n">
        <v>7.6</v>
      </c>
      <c r="F13" s="9" t="inlineStr">
        <is>
          <t>СЕРТИФИКАТ СООТВЕТСТВИЯ (ТР ЕАЭС 043/2017) с приложениями № 1–3</t>
        </is>
      </c>
      <c r="G13" s="9" t="inlineStr">
        <is>
          <t>ЕАЭС RU C-RU.ПБ68.В.00888/22</t>
        </is>
      </c>
      <c r="H13" s="8" t="inlineStr">
        <is>
          <t>15.03.2022</t>
        </is>
      </c>
      <c r="I13" s="9" t="inlineStr">
        <is>
          <t>по 14.03.2027 включительно</t>
        </is>
      </c>
      <c r="J13" s="9" t="inlineStr">
        <is>
          <t>ОС ООО «Пожарная Сертификационная Компания»</t>
        </is>
      </c>
      <c r="K13" s="8" t="n">
        <v>4</v>
      </c>
      <c r="L13" s="8" t="inlineStr">
        <is>
          <t>1-СОТС-АБК</t>
        </is>
      </c>
    </row>
    <row r="14">
      <c r="A14" s="8" t="n">
        <v>2</v>
      </c>
      <c r="B14" s="9" t="inlineStr">
        <is>
          <t>Герметик акриловый противопожарный «ОГНЕЗА-ВГ», 310 мл, арт. 105031</t>
        </is>
      </c>
      <c r="C14" s="9" t="inlineStr">
        <is>
          <t>ООО «ОГНЕЗА»</t>
        </is>
      </c>
      <c r="D14" s="8" t="inlineStr">
        <is>
          <t>картридж</t>
        </is>
      </c>
      <c r="E14" s="8" t="n">
        <v>1</v>
      </c>
      <c r="F14" s="9" t="inlineStr">
        <is>
          <t>СЕРТИФИКАТ СООТВЕТСТВИЯ (добровольная сертификация) с приложением</t>
        </is>
      </c>
      <c r="G14" s="9" t="inlineStr">
        <is>
          <t>НСОПБ.RU.ЭО.ПР.254.Н.00072</t>
        </is>
      </c>
      <c r="H14" s="8" t="inlineStr">
        <is>
          <t>14.04.2025</t>
        </is>
      </c>
      <c r="I14" s="9" t="inlineStr">
        <is>
          <t>по 13.04.2030</t>
        </is>
      </c>
      <c r="J14" s="9" t="inlineStr">
        <is>
          <t>ОС ООО «Международный Сертификационный Альянс»</t>
        </is>
      </c>
      <c r="K14" s="8" t="n">
        <v>2</v>
      </c>
      <c r="L14" s="8" t="inlineStr">
        <is>
          <t>1-СОТС-АБК</t>
        </is>
      </c>
    </row>
    <row r="15">
      <c r="A15" s="6" t="inlineStr">
        <is>
          <t>АОСР № 2-СОТС-АБК — монтаж кабеленесущей системы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8" t="n">
        <v>3</v>
      </c>
      <c r="B16" s="9" t="inlineStr">
        <is>
          <t>Кабель-канал магистральный 25×16 ЭЛЕКОР</t>
        </is>
      </c>
      <c r="C16" s="9" t="inlineStr">
        <is>
          <t>АО «ИЭК ХОЛДИНГ» (IEK)</t>
        </is>
      </c>
      <c r="D16" s="8" t="inlineStr">
        <is>
          <t>м</t>
        </is>
      </c>
      <c r="E16" s="8" t="n">
        <v>35</v>
      </c>
      <c r="F16" s="9" t="inlineStr">
        <is>
          <t>СЕРТИФИКАТ СООТВЕТСТВИЯ (ТР ЕАЭС 043/2017) с приложениями № 1–2</t>
        </is>
      </c>
      <c r="G16" s="9" t="inlineStr">
        <is>
          <t>ЕАЭС RU C-RU.НВ88.В.00177/25</t>
        </is>
      </c>
      <c r="H16" s="8" t="inlineStr">
        <is>
          <t>19.02.2025</t>
        </is>
      </c>
      <c r="I16" s="9" t="inlineStr">
        <is>
          <t>по 27.09.2028 включительно</t>
        </is>
      </c>
      <c r="J16" s="9" t="inlineStr">
        <is>
          <t>ОС ООО «Национальная Лаборатория» (RA.RU.11НВ88)</t>
        </is>
      </c>
      <c r="K16" s="8" t="n">
        <v>3</v>
      </c>
      <c r="L16" s="8" t="inlineStr">
        <is>
          <t>2-СОТС-АБК</t>
        </is>
      </c>
    </row>
    <row r="17">
      <c r="A17" s="8" t="n">
        <v>4</v>
      </c>
      <c r="B17" s="9" t="inlineStr">
        <is>
          <t>Кабель-канал магистральный 25×16 ЭЛЕКОР</t>
        </is>
      </c>
      <c r="C17" s="9" t="inlineStr">
        <is>
          <t>АО «ИЭК ХОЛДИНГ» (IEK)</t>
        </is>
      </c>
      <c r="D17" s="8" t="inlineStr">
        <is>
          <t>м</t>
        </is>
      </c>
      <c r="E17" s="8" t="n">
        <v>35</v>
      </c>
      <c r="F17" s="9" t="inlineStr">
        <is>
          <t>РЕШЕНИЕ органа по сертификации об отказе (ТР ТС 004/2011, ТР ТС 020/2011, ТР ЕАЭС 037/2016 не распространяются)</t>
        </is>
      </c>
      <c r="G17" s="9" t="inlineStr">
        <is>
          <t>№ 3035</t>
        </is>
      </c>
      <c r="H17" s="8" t="inlineStr">
        <is>
          <t>23.11.2022</t>
        </is>
      </c>
      <c r="I17" s="9" t="inlineStr">
        <is>
          <t>—</t>
        </is>
      </c>
      <c r="J17" s="9" t="inlineStr">
        <is>
          <t>ОС ООО «НИЦ ТЕСТ» (RA.RU.11НВ63)</t>
        </is>
      </c>
      <c r="K17" s="8" t="n">
        <v>2</v>
      </c>
      <c r="L17" s="8" t="inlineStr">
        <is>
          <t>2-СОТС-АБК</t>
        </is>
      </c>
    </row>
    <row r="18">
      <c r="A18" s="6" t="inlineStr">
        <is>
          <t>АОСР № 3-СОТС-АБК — прокладка кабельных линий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8" t="n">
        <v>5</v>
      </c>
      <c r="B19" s="9" t="inlineStr">
        <is>
          <t>Кабель КПСнг(А)-FRHF 1×2×0,5</t>
        </is>
      </c>
      <c r="C19" s="9" t="inlineStr">
        <is>
          <t>ООО «ТД «Технокабель-НН»</t>
        </is>
      </c>
      <c r="D19" s="8" t="inlineStr">
        <is>
          <t>м</t>
        </is>
      </c>
      <c r="E19" s="8" t="n">
        <v>396</v>
      </c>
      <c r="F19" s="9" t="inlineStr">
        <is>
          <t>СЕРТИФИКАТ СООТВЕТСТВИЯ (ТР ТС 004/2011)</t>
        </is>
      </c>
      <c r="G19" s="9" t="inlineStr">
        <is>
          <t>ЕАЭС RU C-RU.АЮ64.В.00884/26</t>
        </is>
      </c>
      <c r="H19" s="8" t="inlineStr">
        <is>
          <t>15.07.2026</t>
        </is>
      </c>
      <c r="I19" s="9" t="inlineStr">
        <is>
          <t>по 01.09.2030 включительно</t>
        </is>
      </c>
      <c r="J19" s="9" t="inlineStr">
        <is>
          <t>ОС «ПОЛИСЕРТ» АНО «Электросерт» (RA.RU.10АЮ64)</t>
        </is>
      </c>
      <c r="K19" s="8" t="n">
        <v>1</v>
      </c>
      <c r="L19" s="8" t="inlineStr">
        <is>
          <t>3-СОТС-АБК</t>
        </is>
      </c>
    </row>
    <row r="20">
      <c r="A20" s="8" t="n">
        <v>6</v>
      </c>
      <c r="B20" s="9" t="inlineStr">
        <is>
          <t>Кабель КПСнг(А)-FRHF 1×2×0,5</t>
        </is>
      </c>
      <c r="C20" s="9" t="inlineStr">
        <is>
          <t>ООО «ТД «Технокабель-НН»</t>
        </is>
      </c>
      <c r="D20" s="8" t="inlineStr">
        <is>
          <t>м</t>
        </is>
      </c>
      <c r="E20" s="8" t="n">
        <v>396</v>
      </c>
      <c r="F20" s="9" t="inlineStr">
        <is>
          <t>ПАСПОРТ КАЧЕСТВА, партия № 81</t>
        </is>
      </c>
      <c r="G20" s="9" t="inlineStr">
        <is>
          <t>№ 81</t>
        </is>
      </c>
      <c r="H20" s="8" t="inlineStr">
        <is>
          <t>08.2026</t>
        </is>
      </c>
      <c r="I20" s="9" t="inlineStr">
        <is>
          <t>—</t>
        </is>
      </c>
      <c r="J20" s="9" t="inlineStr">
        <is>
          <t>ОТК ООО «ТД «Технокабель-НН»</t>
        </is>
      </c>
      <c r="K20" s="8" t="n">
        <v>1</v>
      </c>
      <c r="L20" s="8" t="inlineStr">
        <is>
          <t>3-СОТС-АБК</t>
        </is>
      </c>
    </row>
    <row r="21">
      <c r="A21" s="8" t="n">
        <v>7</v>
      </c>
      <c r="B21" s="9" t="inlineStr">
        <is>
          <t>Кабель КПСнг(А)-FRHF 1×2×1</t>
        </is>
      </c>
      <c r="C21" s="9" t="inlineStr">
        <is>
          <t>ООО «ТД «Технокабель-НН»</t>
        </is>
      </c>
      <c r="D21" s="8" t="inlineStr">
        <is>
          <t>м</t>
        </is>
      </c>
      <c r="E21" s="8" t="n">
        <v>48</v>
      </c>
      <c r="F21" s="9" t="inlineStr">
        <is>
          <t>СЕРТИФИКАТ СООТВЕТСТВИЯ (ТР ТС 004/2011)</t>
        </is>
      </c>
      <c r="G21" s="9" t="inlineStr">
        <is>
          <t>ЕАЭС RU C-RU.АЮ64.В.00884/26</t>
        </is>
      </c>
      <c r="H21" s="8" t="inlineStr">
        <is>
          <t>15.07.2026</t>
        </is>
      </c>
      <c r="I21" s="9" t="inlineStr">
        <is>
          <t>по 01.09.2030 включительно</t>
        </is>
      </c>
      <c r="J21" s="9" t="inlineStr">
        <is>
          <t>ОС «ПОЛИСЕРТ» АНО «Электросерт» (RA.RU.10АЮ64)</t>
        </is>
      </c>
      <c r="K21" s="8" t="n">
        <v>1</v>
      </c>
      <c r="L21" s="8" t="inlineStr">
        <is>
          <t>3-СОТС-АБК</t>
        </is>
      </c>
    </row>
    <row r="22">
      <c r="A22" s="8" t="n">
        <v>8</v>
      </c>
      <c r="B22" s="9" t="inlineStr">
        <is>
          <t>Труба гофрированная ПВХ серая с/з d20 мм «Строитель», арт. PR.032000</t>
        </is>
      </c>
      <c r="C22" s="9" t="inlineStr">
        <is>
          <t>«Промрукав» (ООО «НЕПТУН»)</t>
        </is>
      </c>
      <c r="D22" s="8" t="inlineStr">
        <is>
          <t>м</t>
        </is>
      </c>
      <c r="E22" s="8" t="n">
        <v>400</v>
      </c>
      <c r="F22" s="9" t="inlineStr">
        <is>
          <t>СЕРТИФИКАТ СООТВЕТСТВИЯ (ТР ЕАЭС 043/2017) с приложениями № 1–2</t>
        </is>
      </c>
      <c r="G22" s="9" t="inlineStr">
        <is>
          <t>ЕАЭС RU C-RU.ПБ74.В.00766/23</t>
        </is>
      </c>
      <c r="H22" s="8" t="inlineStr">
        <is>
          <t>30.08.2023</t>
        </is>
      </c>
      <c r="I22" s="9" t="inlineStr">
        <is>
          <t>по 25.05.2027 включительно</t>
        </is>
      </c>
      <c r="J22" s="9" t="inlineStr">
        <is>
          <t>ОС «СЗРЦ СЕРТ»</t>
        </is>
      </c>
      <c r="K22" s="8" t="n">
        <v>3</v>
      </c>
      <c r="L22" s="8" t="inlineStr">
        <is>
          <t>3-СОТС-АБК</t>
        </is>
      </c>
    </row>
    <row r="23">
      <c r="A23" s="8" t="n">
        <v>9</v>
      </c>
      <c r="B23" s="9" t="inlineStr">
        <is>
          <t>Труба гофрированная ПВХ серая с/з d20 мм «Строитель», арт. PR.032000</t>
        </is>
      </c>
      <c r="C23" s="9" t="inlineStr">
        <is>
          <t>«Промрукав» (ООО «НЕПТУН»)</t>
        </is>
      </c>
      <c r="D23" s="8" t="inlineStr">
        <is>
          <t>м</t>
        </is>
      </c>
      <c r="E23" s="8" t="n">
        <v>400</v>
      </c>
      <c r="F23" s="9" t="inlineStr">
        <is>
          <t>ПАСПОРТ изготовителя (труба гофрированная ПВХ серая)</t>
        </is>
      </c>
      <c r="G23" s="9" t="inlineStr">
        <is>
          <t>—</t>
        </is>
      </c>
      <c r="H23" s="8" t="inlineStr">
        <is>
          <t>—</t>
        </is>
      </c>
      <c r="I23" s="9" t="inlineStr">
        <is>
          <t>—</t>
        </is>
      </c>
      <c r="J23" s="9" t="inlineStr">
        <is>
          <t>«Промрукав» (ООО «НЕПТУН»)</t>
        </is>
      </c>
      <c r="K23" s="8" t="n">
        <v>2</v>
      </c>
      <c r="L23" s="8" t="inlineStr">
        <is>
          <t>3-СОТС-АБК</t>
        </is>
      </c>
    </row>
    <row r="24">
      <c r="A24" s="8" t="n">
        <v>10</v>
      </c>
      <c r="B24" s="9" t="inlineStr">
        <is>
          <t>Скоба металлическая однолапковая СМО 19-20, арт. PR08.2534</t>
        </is>
      </c>
      <c r="C24" s="9" t="inlineStr">
        <is>
          <t>«Промрукав»</t>
        </is>
      </c>
      <c r="D24" s="8" t="inlineStr">
        <is>
          <t>шт.</t>
        </is>
      </c>
      <c r="E24" s="8" t="n">
        <v>500</v>
      </c>
      <c r="F24" s="9" t="inlineStr">
        <is>
          <t>ПАСПОРТ</t>
        </is>
      </c>
      <c r="G24" s="9" t="inlineStr">
        <is>
          <t>—</t>
        </is>
      </c>
      <c r="H24" s="8" t="inlineStr">
        <is>
          <t>—</t>
        </is>
      </c>
      <c r="I24" s="9" t="inlineStr">
        <is>
          <t>—</t>
        </is>
      </c>
      <c r="J24" s="9" t="inlineStr">
        <is>
          <t>Изготовитель «Промрукав»</t>
        </is>
      </c>
      <c r="K24" s="8" t="n">
        <v>2</v>
      </c>
      <c r="L24" s="8" t="inlineStr">
        <is>
          <t>3-СОТС-АБК</t>
        </is>
      </c>
    </row>
    <row r="26">
      <c r="A26" s="10">
        <f>CONCATENATE("Всего позиций: ",COUNTA(B12:B24),"; листов копий: ",SUM(K12:K24))</f>
        <v/>
      </c>
    </row>
    <row r="28">
      <c r="A28" s="10" t="inlineStr">
        <is>
          <t>Представитель лица, осуществляющего строительство</t>
        </is>
      </c>
    </row>
    <row r="29">
      <c r="A29" s="11" t="inlineStr">
        <is>
          <t>руководитель проекта Белоногов И.Ю.</t>
        </is>
      </c>
      <c r="G29" s="12" t="inlineStr">
        <is>
          <t>_______________________</t>
        </is>
      </c>
      <c r="J29" s="12" t="inlineStr">
        <is>
          <t>«____» ____________ 2026 г.</t>
        </is>
      </c>
    </row>
    <row r="30">
      <c r="G30" s="13" t="inlineStr">
        <is>
          <t>(подпись)</t>
        </is>
      </c>
    </row>
    <row r="32">
      <c r="A32" s="10" t="inlineStr">
        <is>
          <t>Представитель лица, выполнившего работы, подлежащие освидетельствованию</t>
        </is>
      </c>
    </row>
    <row r="33">
      <c r="A33" s="11" t="inlineStr">
        <is>
          <t>начальник отдела систем технической безопасности ООО «АльтЭн» Иванчук М.В.</t>
        </is>
      </c>
      <c r="G33" s="12" t="inlineStr">
        <is>
          <t>_______________________</t>
        </is>
      </c>
      <c r="J33" s="12" t="inlineStr">
        <is>
          <t>«____» ____________ 2026 г.</t>
        </is>
      </c>
    </row>
    <row r="34">
      <c r="G34" s="13" t="inlineStr">
        <is>
          <t>(подпись)</t>
        </is>
      </c>
    </row>
    <row r="36" ht="30" customHeight="1">
      <c r="A36" s="14" t="inlineStr">
        <is>
          <t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      </is>
      </c>
    </row>
  </sheetData>
  <mergeCells count="22">
    <mergeCell ref="A7:L7"/>
    <mergeCell ref="G34:I34"/>
    <mergeCell ref="A18:L18"/>
    <mergeCell ref="A26:F26"/>
    <mergeCell ref="A3:L3"/>
    <mergeCell ref="G30:I30"/>
    <mergeCell ref="A12:L12"/>
    <mergeCell ref="G33:I33"/>
    <mergeCell ref="A33:F33"/>
    <mergeCell ref="A2:L2"/>
    <mergeCell ref="A5:L5"/>
    <mergeCell ref="A32:L32"/>
    <mergeCell ref="A8:L8"/>
    <mergeCell ref="G29:I29"/>
    <mergeCell ref="A29:F29"/>
    <mergeCell ref="A4:L4"/>
    <mergeCell ref="J33:L33"/>
    <mergeCell ref="A28:L28"/>
    <mergeCell ref="J29:L29"/>
    <mergeCell ref="A15:L15"/>
    <mergeCell ref="A1:L1"/>
    <mergeCell ref="A36:L36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2026-10-30T09:00:01Z</dcterms:created>
  <dcterms:modified xmlns:dcterms="http://purl.org/dc/terms/" xmlns:xsi="http://www.w3.org/2001/XMLSchema-instance" xsi:type="dcterms:W3CDTF">2026-10-30T09:00:01Z</dcterms:modified>
</cp:coreProperties>
</file>
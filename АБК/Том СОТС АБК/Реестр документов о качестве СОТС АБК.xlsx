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Реестр СОТС АБК" sheetId="1" state="visible" r:id="rId3"/>
  </sheets>
  <definedNames>
    <definedName function="false" hidden="false" localSheetId="0" name="_xlnm.Print_Titles" vbProcedure="false">'Реестр СОТС АБК'!$10:$11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<sst xmlns="http://schemas.openxmlformats.org/spreadsheetml/2006/main" count="123" uniqueCount="85">
  <si>
    <t xml:space="preserve">Объект капитального строительства: «Центр временного содержания иностранных граждан», Калужская область, м. р-н Боровский, д. Старомихайловское, ул. 1-я Индустриальная, вл. 2, земельный участок с кадастровым номером 40:03:068314:1874</t>
  </si>
  <si>
    <t xml:space="preserve">Застройщик (технический заказчик): АНО «СОЮЗЭКСПЕРТИЗА» ТПП РФ, ОГРН 1027739381548, ИНН 7710310183</t>
  </si>
  <si>
    <t xml:space="preserve">Лицо, осуществляющее строительство: Индивидуальный предприниматель Белоногова Ольга Андреевна, ОГРНИП 315723200029770, ИНН 720200188305</t>
  </si>
  <si>
    <t xml:space="preserve">Лицо, выполнившее работы: ООО «АльтЭн», ОГРН 1024000944098, ИНН 4025062969</t>
  </si>
  <si>
    <t xml:space="preserve">Здание: АБК. Том ИД: СОТС — система охранной и тревожной сигнализации (СОТС). Рабочая документация 16/1/26-СОТС-Р. Исполнительная документация 16/1/26-ИД-АБК, лист 7; кабельный журнал 16/1/26-ИД-АБК.КЖ (раздел СОТС)</t>
  </si>
  <si>
    <t xml:space="preserve">РЕЕСТР</t>
  </si>
  <si>
    <t xml:space="preserve">документов, подтверждающих качество и безопасность строительных материалов (изделий), применённых при выполнении работ, освидетельствованных актами № 1-СОТС-АБК, 2-СОТС-АБК, 3-СОТС-АБК. Реестр является неотъемлемой частью указанных актов (п. 3 АОСР).</t>
  </si>
  <si>
    <t xml:space="preserve">№ п/п</t>
  </si>
  <si>
    <t xml:space="preserve">Наименование материала (изделия), марка, артикул</t>
  </si>
  <si>
    <t xml:space="preserve">Изготовитель</t>
  </si>
  <si>
    <t xml:space="preserve">Ед. изм.</t>
  </si>
  <si>
    <t xml:space="preserve">Кол-во</t>
  </si>
  <si>
    <t xml:space="preserve">Вид документа</t>
  </si>
  <si>
    <t xml:space="preserve">Номер документа</t>
  </si>
  <si>
    <t xml:space="preserve">Дата выдачи</t>
  </si>
  <si>
    <t xml:space="preserve">Срок действия</t>
  </si>
  <si>
    <t xml:space="preserve">Кем выдан</t>
  </si>
  <si>
    <t xml:space="preserve">Кол-во листов</t>
  </si>
  <si>
    <t xml:space="preserve">АОСР №</t>
  </si>
  <si>
    <t xml:space="preserve">АОСР № 1-СОТС-АБК — монтаж и герметизация гильз</t>
  </si>
  <si>
    <t xml:space="preserve">Труба гладкая жёсткая ПВХ d20 мм, серая, арт. trg-20-2m (защитные гильзы)</t>
  </si>
  <si>
    <t xml:space="preserve">EKF</t>
  </si>
  <si>
    <t xml:space="preserve">м</t>
  </si>
  <si>
    <t xml:space="preserve">СЕРТИФИКАТ СООТВЕТСТВИЯ (ТР ЕАЭС 043/2017) с приложениями № 1–3</t>
  </si>
  <si>
    <t xml:space="preserve">ЕАЭС RU C-RU.ПБ68.В.00888/22</t>
  </si>
  <si>
    <t xml:space="preserve">15.03.2022</t>
  </si>
  <si>
    <t xml:space="preserve">по 14.03.2027 включительно</t>
  </si>
  <si>
    <t xml:space="preserve">ОС ООО «Пожарная Сертификационная Компания»</t>
  </si>
  <si>
    <t xml:space="preserve">1-СОТС-АБК</t>
  </si>
  <si>
    <t xml:space="preserve">Герметик акриловый противопожарный «ОГНЕЗА-ВГ», 310 мл, арт. 105031</t>
  </si>
  <si>
    <t xml:space="preserve">ООО «ОГНЕЗА»</t>
  </si>
  <si>
    <t xml:space="preserve">картридж</t>
  </si>
  <si>
    <t xml:space="preserve">СЕРТИФИКАТ СООТВЕТСТВИЯ (добровольная сертификация) с приложением</t>
  </si>
  <si>
    <t xml:space="preserve">НСОПБ.RU.ЭО.ПР.254.Н.00072</t>
  </si>
  <si>
    <t xml:space="preserve">14.04.2025</t>
  </si>
  <si>
    <t xml:space="preserve">по 13.04.2030</t>
  </si>
  <si>
    <t xml:space="preserve">ОС ООО «Международный Сертификационный Альянс»</t>
  </si>
  <si>
    <t xml:space="preserve">АОСР № 2-СОТС-АБК — монтаж кабеленесущей системы</t>
  </si>
  <si>
    <t xml:space="preserve">Кабель-канал магистральный 25×16 ЭЛЕКОР</t>
  </si>
  <si>
    <t xml:space="preserve">АО «ИЭК ХОЛДИНГ» (IEK)</t>
  </si>
  <si>
    <t xml:space="preserve">СЕРТИФИКАТ СООТВЕТСТВИЯ (ТР ЕАЭС 043/2017) с приложениями № 1–2</t>
  </si>
  <si>
    <t xml:space="preserve">ЕАЭС RU C-RU.НВ88.В.00177/25</t>
  </si>
  <si>
    <t xml:space="preserve">19.02.2025</t>
  </si>
  <si>
    <t xml:space="preserve">по 27.09.2028 включительно</t>
  </si>
  <si>
    <t xml:space="preserve">ОС ООО «Национальная Лаборатория» (RA.RU.11НВ88)</t>
  </si>
  <si>
    <t xml:space="preserve">2-СОТС-АБК</t>
  </si>
  <si>
    <t xml:space="preserve">РЕШЕНИЕ органа по сертификации об отказе (ТР ТС 004/2011, ТР ТС 020/2011, ТР ЕАЭС 037/2016 не распространяются)</t>
  </si>
  <si>
    <t xml:space="preserve">№ 3035</t>
  </si>
  <si>
    <t xml:space="preserve">23.11.2022</t>
  </si>
  <si>
    <t xml:space="preserve">—</t>
  </si>
  <si>
    <t xml:space="preserve">ОС ООО «НИЦ ТЕСТ» (RA.RU.11НВ63)</t>
  </si>
  <si>
    <t xml:space="preserve">АОСР № 3-СОТС-АБК — прокладка кабельных линий</t>
  </si>
  <si>
    <t xml:space="preserve">Кабель КПСнг(А)-FRHF 1×2×0,5</t>
  </si>
  <si>
    <t xml:space="preserve">ООО «ТД «Технокабель-НН»</t>
  </si>
  <si>
    <t xml:space="preserve">СЕРТИФИКАТ СООТВЕТСТВИЯ (ТР ТС 004/2011)</t>
  </si>
  <si>
    <t xml:space="preserve">ЕАЭС RU C-RU.АЮ64.В.00884/26</t>
  </si>
  <si>
    <t xml:space="preserve">15.07.2026</t>
  </si>
  <si>
    <t xml:space="preserve">по 01.09.2030 включительно</t>
  </si>
  <si>
    <t xml:space="preserve">ОС «ПОЛИСЕРТ» АНО «Электросерт» (RA.RU.10АЮ64)</t>
  </si>
  <si>
    <t xml:space="preserve">3-СОТС-АБК</t>
  </si>
  <si>
    <t xml:space="preserve">ПАСПОРТ КАЧЕСТВА, партия № 81</t>
  </si>
  <si>
    <t xml:space="preserve">№ 81</t>
  </si>
  <si>
    <t xml:space="preserve">08.2026</t>
  </si>
  <si>
    <t xml:space="preserve">ОТК ООО «ТД «Технокабель-НН»</t>
  </si>
  <si>
    <t xml:space="preserve">Кабель КПСнг(А)-FRHF 1×2×1</t>
  </si>
  <si>
    <t xml:space="preserve">Труба гофрированная ПВХ серая с/з d20 мм «Строитель», арт. PR.032000</t>
  </si>
  <si>
    <t xml:space="preserve">«Промрукав» (ООО «НЕПТУН»)</t>
  </si>
  <si>
    <t xml:space="preserve">ЕАЭС RU C-RU.ПБ74.В.00766/23</t>
  </si>
  <si>
    <t xml:space="preserve">30.08.2023</t>
  </si>
  <si>
    <t xml:space="preserve">по 25.05.2027 включительно</t>
  </si>
  <si>
    <t xml:space="preserve">ОС «СЗРЦ СЕРТ»</t>
  </si>
  <si>
    <t xml:space="preserve">ПАСПОРТ изготовителя (труба гофрированная ПВХ серая)</t>
  </si>
  <si>
    <t xml:space="preserve">Скоба металлическая однолапковая СМО 19-20, арт. PR08.2534</t>
  </si>
  <si>
    <t xml:space="preserve">«Промрукав»</t>
  </si>
  <si>
    <t xml:space="preserve">шт.</t>
  </si>
  <si>
    <t xml:space="preserve">ПАСПОРТ</t>
  </si>
  <si>
    <t xml:space="preserve">Изготовитель «Промрукав»</t>
  </si>
  <si>
    <t xml:space="preserve">Представитель лица, осуществляющего строительство</t>
  </si>
  <si>
    <t xml:space="preserve">руководитель проекта Белоногов И.Ю.</t>
  </si>
  <si>
    <t xml:space="preserve">_______________________</t>
  </si>
  <si>
    <t xml:space="preserve">«____» ____________ 2026 г.</t>
  </si>
  <si>
    <t xml:space="preserve">(подпись)</t>
  </si>
  <si>
    <t xml:space="preserve">Представитель лица, выполнившего работы, подлежащие освидетельствованию</t>
  </si>
  <si>
    <t xml:space="preserve">начальник отдела систем технической безопасности ООО «АльтЭн» Иванчук М.В.</t>
  </si>
  <si>
    <t xml:space="preserve">Основание: приказ Минстроя России от 16.05.2023 № 344/пр, форма АОСР, п. 3 (реквизиты документов о качестве допускается оформлять реестром, являющимся неотъемлемой частью акта). Копии документов прилагаются в порядке нумерации реестра.</t>
  </si>
</sst>
</file>

<file path=xl/styles.xml><?xml version="1.0" encoding="utf-8"?>
<styleSheet xmlns="http://schemas.openxmlformats.org/spreadsheetml/2006/main">
  <numFmts count="1">
    <numFmt numFmtId="164" formatCode="General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name val="Times New Roman"/>
      <family val="0"/>
      <charset val="1"/>
    </font>
    <font>
      <b val="true"/>
      <sz val="13"/>
      <name val="Times New Roman"/>
      <family val="0"/>
      <charset val="1"/>
    </font>
    <font>
      <b val="true"/>
      <sz val="11"/>
      <name val="Times New Roman"/>
      <family val="0"/>
      <charset val="1"/>
    </font>
    <font>
      <b val="true"/>
      <sz val="10"/>
      <name val="Times New Roman"/>
      <family val="0"/>
      <charset val="1"/>
    </font>
    <font>
      <sz val="9"/>
      <name val="Times New Roman"/>
      <family val="0"/>
      <charset val="1"/>
    </font>
    <font>
      <i val="true"/>
      <sz val="10"/>
      <name val="Times New Roman"/>
      <family val="0"/>
      <charset val="1"/>
    </font>
    <font>
      <i val="true"/>
      <sz val="8"/>
      <name val="Times New Roman"/>
      <family val="0"/>
      <charset val="1"/>
    </font>
    <font>
      <i val="true"/>
      <sz val="9"/>
      <name val="Times New Roman"/>
      <family val="0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5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0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false">
      <alignment horizontal="center" vertical="top" textRotation="0" wrapText="true" indent="0" shrinkToFit="false"/>
      <protection locked="true" hidden="false"/>
    </xf>
    <xf numFmtId="164" fontId="4" fillId="0" borderId="1" xfId="0" applyFont="true" applyBorder="true" applyAlignment="true" applyProtection="false">
      <alignment horizontal="left" vertical="top" textRotation="0" wrapText="true" indent="0" shrinkToFit="false"/>
      <protection locked="true" hidden="false"/>
    </xf>
    <xf numFmtId="164" fontId="7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L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"/>
    <col collapsed="false" customWidth="true" hidden="false" outlineLevel="0" max="2" min="2" style="0" width="36"/>
    <col collapsed="false" customWidth="true" hidden="false" outlineLevel="0" max="3" min="3" style="0" width="20"/>
    <col collapsed="false" customWidth="true" hidden="false" outlineLevel="0" max="5" min="4" style="0" width="8"/>
    <col collapsed="false" customWidth="true" hidden="false" outlineLevel="0" max="6" min="6" style="0" width="24"/>
    <col collapsed="false" customWidth="true" hidden="false" outlineLevel="0" max="7" min="7" style="0" width="28"/>
    <col collapsed="false" customWidth="true" hidden="false" outlineLevel="0" max="8" min="8" style="0" width="11"/>
    <col collapsed="false" customWidth="true" hidden="false" outlineLevel="0" max="9" min="9" style="0" width="18"/>
    <col collapsed="false" customWidth="true" hidden="false" outlineLevel="0" max="10" min="10" style="0" width="28"/>
    <col collapsed="false" customWidth="true" hidden="false" outlineLevel="0" max="11" min="11" style="0" width="8"/>
    <col collapsed="false" customWidth="true" hidden="false" outlineLevel="0" max="12" min="12" style="0" width="14"/>
  </cols>
  <sheetData>
    <row r="1" customFormat="false" ht="27.75" hidden="false" customHeight="true" outlineLevel="0" collapsed="false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  <c r="L1" s="1"/>
    </row>
    <row r="2" customFormat="false" ht="15" hidden="false" customHeight="true" outlineLevel="0" collapsed="false">
      <c r="A2" s="1" t="s">
        <v>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</row>
    <row r="3" customFormat="false" ht="15" hidden="false" customHeight="true" outlineLevel="0" collapsed="false">
      <c r="A3" s="1" t="s">
        <v>2</v>
      </c>
      <c r="B3" s="1"/>
      <c r="C3" s="1"/>
      <c r="D3" s="1"/>
      <c r="E3" s="1"/>
      <c r="F3" s="1"/>
      <c r="G3" s="1"/>
      <c r="H3" s="1"/>
      <c r="I3" s="1"/>
      <c r="J3" s="1"/>
      <c r="K3" s="1"/>
      <c r="L3" s="1"/>
    </row>
    <row r="4" customFormat="false" ht="15" hidden="false" customHeight="true" outlineLevel="0" collapsed="false">
      <c r="A4" s="1" t="s">
        <v>3</v>
      </c>
      <c r="B4" s="1"/>
      <c r="C4" s="1"/>
      <c r="D4" s="1"/>
      <c r="E4" s="1"/>
      <c r="F4" s="1"/>
      <c r="G4" s="1"/>
      <c r="H4" s="1"/>
      <c r="I4" s="1"/>
      <c r="J4" s="1"/>
      <c r="K4" s="1"/>
      <c r="L4" s="1"/>
    </row>
    <row r="5" customFormat="false" ht="27.75" hidden="false" customHeight="true" outlineLevel="0" collapsed="false">
      <c r="A5" s="1" t="s">
        <v>4</v>
      </c>
      <c r="B5" s="1"/>
      <c r="C5" s="1"/>
      <c r="D5" s="1"/>
      <c r="E5" s="1"/>
      <c r="F5" s="1"/>
      <c r="G5" s="1"/>
      <c r="H5" s="1"/>
      <c r="I5" s="1"/>
      <c r="J5" s="1"/>
      <c r="K5" s="1"/>
      <c r="L5" s="1"/>
    </row>
    <row r="7" customFormat="false" ht="19.5" hidden="false" customHeight="true" outlineLevel="0" collapsed="false">
      <c r="A7" s="2" t="s">
        <v>5</v>
      </c>
      <c r="B7" s="2"/>
      <c r="C7" s="2"/>
      <c r="D7" s="2"/>
      <c r="E7" s="2"/>
      <c r="F7" s="2"/>
      <c r="G7" s="2"/>
      <c r="H7" s="2"/>
      <c r="I7" s="2"/>
      <c r="J7" s="2"/>
      <c r="K7" s="2"/>
      <c r="L7" s="2"/>
    </row>
    <row r="8" customFormat="false" ht="33.75" hidden="false" customHeight="true" outlineLevel="0" collapsed="false">
      <c r="A8" s="3" t="s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</row>
    <row r="10" customFormat="false" ht="42" hidden="false" customHeight="true" outlineLevel="0" collapsed="false">
      <c r="A10" s="4" t="s">
        <v>7</v>
      </c>
      <c r="B10" s="4" t="s">
        <v>8</v>
      </c>
      <c r="C10" s="4" t="s">
        <v>9</v>
      </c>
      <c r="D10" s="4" t="s">
        <v>10</v>
      </c>
      <c r="E10" s="4" t="s">
        <v>11</v>
      </c>
      <c r="F10" s="4" t="s">
        <v>12</v>
      </c>
      <c r="G10" s="4" t="s">
        <v>13</v>
      </c>
      <c r="H10" s="4" t="s">
        <v>14</v>
      </c>
      <c r="I10" s="4" t="s">
        <v>15</v>
      </c>
      <c r="J10" s="4" t="s">
        <v>16</v>
      </c>
      <c r="K10" s="4" t="s">
        <v>17</v>
      </c>
      <c r="L10" s="4" t="s">
        <v>18</v>
      </c>
    </row>
    <row r="11" customFormat="false" ht="15" hidden="false" customHeight="false" outlineLevel="0" collapsed="false">
      <c r="A11" s="5" t="n">
        <v>1</v>
      </c>
      <c r="B11" s="5" t="n">
        <v>2</v>
      </c>
      <c r="C11" s="5" t="n">
        <v>3</v>
      </c>
      <c r="D11" s="5" t="n">
        <v>4</v>
      </c>
      <c r="E11" s="5" t="n">
        <v>5</v>
      </c>
      <c r="F11" s="5" t="n">
        <v>6</v>
      </c>
      <c r="G11" s="5" t="n">
        <v>7</v>
      </c>
      <c r="H11" s="5" t="n">
        <v>8</v>
      </c>
      <c r="I11" s="5" t="n">
        <v>9</v>
      </c>
      <c r="J11" s="5" t="n">
        <v>10</v>
      </c>
      <c r="K11" s="5" t="n">
        <v>11</v>
      </c>
      <c r="L11" s="5" t="n">
        <v>12</v>
      </c>
    </row>
    <row r="12" customFormat="false" ht="15" hidden="false" customHeight="false" outlineLevel="0" collapsed="false">
      <c r="A12" s="6" t="s">
        <v>19</v>
      </c>
      <c r="B12" s="6"/>
      <c r="C12" s="6"/>
      <c r="D12" s="6"/>
      <c r="E12" s="6"/>
      <c r="F12" s="6"/>
      <c r="G12" s="6"/>
      <c r="H12" s="6"/>
      <c r="I12" s="6"/>
      <c r="J12" s="6"/>
      <c r="K12" s="6"/>
      <c r="L12" s="6"/>
    </row>
    <row r="13" customFormat="false" ht="46.25" hidden="false" customHeight="false" outlineLevel="0" collapsed="false">
      <c r="A13" s="7" t="n">
        <v>1</v>
      </c>
      <c r="B13" s="8" t="s">
        <v>20</v>
      </c>
      <c r="C13" s="8" t="s">
        <v>21</v>
      </c>
      <c r="D13" s="7" t="s">
        <v>22</v>
      </c>
      <c r="E13" s="7" t="n">
        <v>7.6</v>
      </c>
      <c r="F13" s="8" t="s">
        <v>23</v>
      </c>
      <c r="G13" s="8" t="s">
        <v>24</v>
      </c>
      <c r="H13" s="7" t="s">
        <v>25</v>
      </c>
      <c r="I13" s="8" t="s">
        <v>26</v>
      </c>
      <c r="J13" s="8" t="s">
        <v>27</v>
      </c>
      <c r="K13" s="7" t="n">
        <v>4</v>
      </c>
      <c r="L13" s="7" t="s">
        <v>28</v>
      </c>
    </row>
    <row r="14" customFormat="false" ht="46.25" hidden="false" customHeight="false" outlineLevel="0" collapsed="false">
      <c r="A14" s="7" t="n">
        <v>2</v>
      </c>
      <c r="B14" s="8" t="s">
        <v>29</v>
      </c>
      <c r="C14" s="8" t="s">
        <v>30</v>
      </c>
      <c r="D14" s="7" t="s">
        <v>31</v>
      </c>
      <c r="E14" s="7" t="n">
        <v>1</v>
      </c>
      <c r="F14" s="8" t="s">
        <v>32</v>
      </c>
      <c r="G14" s="8" t="s">
        <v>33</v>
      </c>
      <c r="H14" s="7" t="s">
        <v>34</v>
      </c>
      <c r="I14" s="8" t="s">
        <v>35</v>
      </c>
      <c r="J14" s="8" t="s">
        <v>36</v>
      </c>
      <c r="K14" s="7" t="n">
        <v>2</v>
      </c>
      <c r="L14" s="7" t="s">
        <v>28</v>
      </c>
    </row>
    <row r="15" customFormat="false" ht="15" hidden="false" customHeight="false" outlineLevel="0" collapsed="false">
      <c r="A15" s="6" t="s">
        <v>37</v>
      </c>
      <c r="B15" s="6"/>
      <c r="C15" s="6"/>
      <c r="D15" s="6"/>
      <c r="E15" s="6"/>
      <c r="F15" s="6"/>
      <c r="G15" s="6"/>
      <c r="H15" s="6"/>
      <c r="I15" s="6"/>
      <c r="J15" s="6"/>
      <c r="K15" s="6"/>
      <c r="L15" s="6"/>
    </row>
    <row r="16" customFormat="false" ht="46.25" hidden="false" customHeight="false" outlineLevel="0" collapsed="false">
      <c r="A16" s="7" t="n">
        <v>3</v>
      </c>
      <c r="B16" s="8" t="s">
        <v>38</v>
      </c>
      <c r="C16" s="8" t="s">
        <v>39</v>
      </c>
      <c r="D16" s="7" t="s">
        <v>22</v>
      </c>
      <c r="E16" s="7" t="n">
        <v>35</v>
      </c>
      <c r="F16" s="8" t="s">
        <v>40</v>
      </c>
      <c r="G16" s="8" t="s">
        <v>41</v>
      </c>
      <c r="H16" s="7" t="s">
        <v>42</v>
      </c>
      <c r="I16" s="8" t="s">
        <v>43</v>
      </c>
      <c r="J16" s="8" t="s">
        <v>44</v>
      </c>
      <c r="K16" s="7" t="n">
        <v>3</v>
      </c>
      <c r="L16" s="7" t="s">
        <v>45</v>
      </c>
    </row>
    <row r="17" customFormat="false" ht="57.45" hidden="false" customHeight="false" outlineLevel="0" collapsed="false">
      <c r="A17" s="7" t="n">
        <v>4</v>
      </c>
      <c r="B17" s="8" t="s">
        <v>38</v>
      </c>
      <c r="C17" s="8" t="s">
        <v>39</v>
      </c>
      <c r="D17" s="7" t="s">
        <v>22</v>
      </c>
      <c r="E17" s="7" t="n">
        <v>35</v>
      </c>
      <c r="F17" s="8" t="s">
        <v>46</v>
      </c>
      <c r="G17" s="8" t="s">
        <v>47</v>
      </c>
      <c r="H17" s="7" t="s">
        <v>48</v>
      </c>
      <c r="I17" s="8" t="s">
        <v>49</v>
      </c>
      <c r="J17" s="8" t="s">
        <v>50</v>
      </c>
      <c r="K17" s="7" t="n">
        <v>2</v>
      </c>
      <c r="L17" s="7" t="s">
        <v>45</v>
      </c>
    </row>
    <row r="18" customFormat="false" ht="15" hidden="false" customHeight="false" outlineLevel="0" collapsed="false">
      <c r="A18" s="6" t="s">
        <v>51</v>
      </c>
      <c r="B18" s="6"/>
      <c r="C18" s="6"/>
      <c r="D18" s="6"/>
      <c r="E18" s="6"/>
      <c r="F18" s="6"/>
      <c r="G18" s="6"/>
      <c r="H18" s="6"/>
      <c r="I18" s="6"/>
      <c r="J18" s="6"/>
      <c r="K18" s="6"/>
      <c r="L18" s="6"/>
    </row>
    <row r="19" customFormat="false" ht="35.05" hidden="false" customHeight="false" outlineLevel="0" collapsed="false">
      <c r="A19" s="7" t="n">
        <v>5</v>
      </c>
      <c r="B19" s="8" t="s">
        <v>52</v>
      </c>
      <c r="C19" s="8" t="s">
        <v>53</v>
      </c>
      <c r="D19" s="7" t="s">
        <v>22</v>
      </c>
      <c r="E19" s="7" t="n">
        <v>396</v>
      </c>
      <c r="F19" s="8" t="s">
        <v>54</v>
      </c>
      <c r="G19" s="8" t="s">
        <v>55</v>
      </c>
      <c r="H19" s="7" t="s">
        <v>56</v>
      </c>
      <c r="I19" s="8" t="s">
        <v>57</v>
      </c>
      <c r="J19" s="8" t="s">
        <v>58</v>
      </c>
      <c r="K19" s="7" t="n">
        <v>1</v>
      </c>
      <c r="L19" s="7" t="s">
        <v>59</v>
      </c>
    </row>
    <row r="20" customFormat="false" ht="23.85" hidden="false" customHeight="false" outlineLevel="0" collapsed="false">
      <c r="A20" s="7" t="n">
        <v>6</v>
      </c>
      <c r="B20" s="8" t="s">
        <v>52</v>
      </c>
      <c r="C20" s="8" t="s">
        <v>53</v>
      </c>
      <c r="D20" s="7" t="s">
        <v>22</v>
      </c>
      <c r="E20" s="7" t="n">
        <v>396</v>
      </c>
      <c r="F20" s="8" t="s">
        <v>60</v>
      </c>
      <c r="G20" s="8" t="s">
        <v>61</v>
      </c>
      <c r="H20" s="7" t="s">
        <v>62</v>
      </c>
      <c r="I20" s="8" t="s">
        <v>49</v>
      </c>
      <c r="J20" s="8" t="s">
        <v>63</v>
      </c>
      <c r="K20" s="7" t="n">
        <v>1</v>
      </c>
      <c r="L20" s="7" t="s">
        <v>59</v>
      </c>
    </row>
    <row r="21" customFormat="false" ht="35.05" hidden="false" customHeight="false" outlineLevel="0" collapsed="false">
      <c r="A21" s="7" t="n">
        <v>7</v>
      </c>
      <c r="B21" s="8" t="s">
        <v>64</v>
      </c>
      <c r="C21" s="8" t="s">
        <v>53</v>
      </c>
      <c r="D21" s="7" t="s">
        <v>22</v>
      </c>
      <c r="E21" s="7" t="n">
        <v>48</v>
      </c>
      <c r="F21" s="8" t="s">
        <v>54</v>
      </c>
      <c r="G21" s="8" t="s">
        <v>55</v>
      </c>
      <c r="H21" s="7" t="s">
        <v>56</v>
      </c>
      <c r="I21" s="8" t="s">
        <v>57</v>
      </c>
      <c r="J21" s="8" t="s">
        <v>58</v>
      </c>
      <c r="K21" s="7" t="n">
        <v>1</v>
      </c>
      <c r="L21" s="7" t="s">
        <v>59</v>
      </c>
    </row>
    <row r="22" customFormat="false" ht="46.25" hidden="false" customHeight="false" outlineLevel="0" collapsed="false">
      <c r="A22" s="7" t="n">
        <v>8</v>
      </c>
      <c r="B22" s="8" t="s">
        <v>65</v>
      </c>
      <c r="C22" s="8" t="s">
        <v>66</v>
      </c>
      <c r="D22" s="7" t="s">
        <v>22</v>
      </c>
      <c r="E22" s="7" t="n">
        <v>400</v>
      </c>
      <c r="F22" s="8" t="s">
        <v>40</v>
      </c>
      <c r="G22" s="8" t="s">
        <v>67</v>
      </c>
      <c r="H22" s="7" t="s">
        <v>68</v>
      </c>
      <c r="I22" s="8" t="s">
        <v>69</v>
      </c>
      <c r="J22" s="8" t="s">
        <v>70</v>
      </c>
      <c r="K22" s="7" t="n">
        <v>3</v>
      </c>
      <c r="L22" s="7" t="s">
        <v>59</v>
      </c>
    </row>
    <row r="23" customFormat="false" ht="35.05" hidden="false" customHeight="false" outlineLevel="0" collapsed="false">
      <c r="A23" s="7" t="n">
        <v>9</v>
      </c>
      <c r="B23" s="8" t="s">
        <v>65</v>
      </c>
      <c r="C23" s="8" t="s">
        <v>66</v>
      </c>
      <c r="D23" s="7" t="s">
        <v>22</v>
      </c>
      <c r="E23" s="7" t="n">
        <v>400</v>
      </c>
      <c r="F23" s="8" t="s">
        <v>71</v>
      </c>
      <c r="G23" s="8" t="s">
        <v>49</v>
      </c>
      <c r="H23" s="7" t="s">
        <v>49</v>
      </c>
      <c r="I23" s="8" t="s">
        <v>49</v>
      </c>
      <c r="J23" s="8" t="s">
        <v>66</v>
      </c>
      <c r="K23" s="7" t="n">
        <v>2</v>
      </c>
      <c r="L23" s="7" t="s">
        <v>59</v>
      </c>
    </row>
    <row r="24" customFormat="false" ht="23.85" hidden="false" customHeight="false" outlineLevel="0" collapsed="false">
      <c r="A24" s="7" t="n">
        <v>10</v>
      </c>
      <c r="B24" s="8" t="s">
        <v>72</v>
      </c>
      <c r="C24" s="8" t="s">
        <v>73</v>
      </c>
      <c r="D24" s="7" t="s">
        <v>74</v>
      </c>
      <c r="E24" s="7" t="n">
        <v>500</v>
      </c>
      <c r="F24" s="8" t="s">
        <v>75</v>
      </c>
      <c r="G24" s="8" t="s">
        <v>49</v>
      </c>
      <c r="H24" s="7" t="s">
        <v>49</v>
      </c>
      <c r="I24" s="8" t="s">
        <v>49</v>
      </c>
      <c r="J24" s="8" t="s">
        <v>76</v>
      </c>
      <c r="K24" s="7" t="n">
        <v>2</v>
      </c>
      <c r="L24" s="7" t="s">
        <v>59</v>
      </c>
    </row>
    <row r="26" customFormat="false" ht="15" hidden="false" customHeight="false" outlineLevel="0" collapsed="false">
      <c r="A26" s="9" t="str">
        <f aca="false">CONCATENATE("Всего позиций: ",COUNTA(B12:B24),"; листов копий: ",SUM(K12:K24))</f>
        <v>Всего позиций: 10; листов копий: 21</v>
      </c>
      <c r="B26" s="9"/>
      <c r="C26" s="9"/>
      <c r="D26" s="9"/>
      <c r="E26" s="9"/>
      <c r="F26" s="9"/>
    </row>
    <row r="28" customFormat="false" ht="15" hidden="false" customHeight="false" outlineLevel="0" collapsed="false">
      <c r="A28" s="9" t="s">
        <v>77</v>
      </c>
      <c r="B28" s="9"/>
      <c r="C28" s="9"/>
      <c r="D28" s="9"/>
      <c r="E28" s="9"/>
      <c r="F28" s="9"/>
      <c r="G28" s="9"/>
      <c r="H28" s="9"/>
      <c r="I28" s="9"/>
      <c r="J28" s="9"/>
      <c r="K28" s="9"/>
      <c r="L28" s="9"/>
    </row>
    <row r="29" customFormat="false" ht="15" hidden="false" customHeight="false" outlineLevel="0" collapsed="false">
      <c r="A29" s="10" t="s">
        <v>78</v>
      </c>
      <c r="B29" s="10"/>
      <c r="C29" s="10"/>
      <c r="D29" s="10"/>
      <c r="E29" s="10"/>
      <c r="F29" s="10"/>
      <c r="G29" s="11" t="s">
        <v>79</v>
      </c>
      <c r="H29" s="11"/>
      <c r="I29" s="11"/>
      <c r="J29" s="11" t="s">
        <v>80</v>
      </c>
      <c r="K29" s="11"/>
      <c r="L29" s="11"/>
    </row>
    <row r="30" customFormat="false" ht="15" hidden="false" customHeight="false" outlineLevel="0" collapsed="false">
      <c r="G30" s="12" t="s">
        <v>81</v>
      </c>
      <c r="H30" s="12"/>
      <c r="I30" s="12"/>
    </row>
    <row r="32" customFormat="false" ht="15" hidden="false" customHeight="false" outlineLevel="0" collapsed="false">
      <c r="A32" s="9" t="s">
        <v>82</v>
      </c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</row>
    <row r="33" customFormat="false" ht="15" hidden="false" customHeight="false" outlineLevel="0" collapsed="false">
      <c r="A33" s="10" t="s">
        <v>83</v>
      </c>
      <c r="B33" s="10"/>
      <c r="C33" s="10"/>
      <c r="D33" s="10"/>
      <c r="E33" s="10"/>
      <c r="F33" s="10"/>
      <c r="G33" s="11" t="s">
        <v>79</v>
      </c>
      <c r="H33" s="11"/>
      <c r="I33" s="11"/>
      <c r="J33" s="11" t="s">
        <v>80</v>
      </c>
      <c r="K33" s="11"/>
      <c r="L33" s="11"/>
    </row>
    <row r="34" customFormat="false" ht="15" hidden="false" customHeight="false" outlineLevel="0" collapsed="false">
      <c r="G34" s="12" t="s">
        <v>81</v>
      </c>
      <c r="H34" s="12"/>
      <c r="I34" s="12"/>
    </row>
    <row r="36" customFormat="false" ht="30" hidden="false" customHeight="true" outlineLevel="0" collapsed="false">
      <c r="A36" s="13" t="s">
        <v>84</v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</row>
  </sheetData>
  <mergeCells count="22">
    <mergeCell ref="A1:L1"/>
    <mergeCell ref="A2:L2"/>
    <mergeCell ref="A3:L3"/>
    <mergeCell ref="A4:L4"/>
    <mergeCell ref="A5:L5"/>
    <mergeCell ref="A7:L7"/>
    <mergeCell ref="A8:L8"/>
    <mergeCell ref="A12:L12"/>
    <mergeCell ref="A15:L15"/>
    <mergeCell ref="A18:L18"/>
    <mergeCell ref="A26:F26"/>
    <mergeCell ref="A28:L28"/>
    <mergeCell ref="A29:F29"/>
    <mergeCell ref="G29:I29"/>
    <mergeCell ref="J29:L29"/>
    <mergeCell ref="G30:I30"/>
    <mergeCell ref="A32:L32"/>
    <mergeCell ref="A33:F33"/>
    <mergeCell ref="G33:I33"/>
    <mergeCell ref="J33:L33"/>
    <mergeCell ref="G34:I34"/>
    <mergeCell ref="A36:L36"/>
  </mergeCells>
  <printOptions headings="false" gridLines="false" gridLinesSet="true" horizontalCentered="true" verticalCentered="false"/>
  <pageMargins left="0.4" right="0.4" top="0.5" bottom="0.5" header="0.511811023622047" footer="0.511811023622047"/>
  <pageSetup paperSize="9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2026-10-29T17:15:34Z</dcterms:created>
  <dc:creator>openpyxl</dc:creator>
  <dc:description/>
  <dc:language>en-US</dc:language>
  <cp:lastModifiedBy/>
  <dcterms:modified xsi:type="dcterms:W3CDTF">2026-10-29T17:15:34Z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
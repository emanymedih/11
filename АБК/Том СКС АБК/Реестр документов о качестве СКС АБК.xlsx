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КС АБК" sheetId="1" state="visible" r:id="rId3"/>
  </sheets>
  <definedNames>
    <definedName function="false" hidden="false" localSheetId="0" name="_xlnm.Print_Titles" vbProcedure="false">'Реестр СКС АБК'!$10:$11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<sst xmlns="http://schemas.openxmlformats.org/spreadsheetml/2006/main" count="204" uniqueCount="133">
  <si>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</si>
  <si>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</si>
  <si>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</si>
  <si>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</si>
  <si>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АБК. Том ИД: СКС — структурированная кабельная система (СКС). Рабочая документация 16/1/26-СКС-Р. Исполнительная документация 16/1/26-ИД-АБК, лист 5; кабельный журнал 16/1/26-ИД-АБК.КЖ (раздел СКС)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</si>
  <si>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</si>
  <si>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1-СКС-АБК, 2-СКС-АБК, 3-СКС-АБК.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</si>
  <si>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</si>
  <si>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</si>
  <si>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</si>
  <si>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</si>
  <si>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</si>
  <si>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</si>
  <si>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</si>
  <si>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</si>
  <si>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</si>
  <si>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</si>
  <si>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</si>
  <si>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</si>
  <si>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1-СКС-АБК — монтаж и герметизация гильз</t>
  </si>
  <si>
    <t xml:space="preserve">Труба гладкая жёсткая ПВХ d20 мм, серая, арт. trg-20-2m (защитные гильзы)</t>
  </si>
  <si>
    <t xml:space="preserve">EKF</t>
  </si>
  <si>
    <t xml:space="preserve">м</t>
  </si>
  <si>
    <t xml:space="preserve">СЕРТИФИКАТ СООТВЕТСТВИЯ (ТР ЕАЭС 043/2017) с приложениями № 1–3</t>
  </si>
  <si>
    <t xml:space="preserve">ЕАЭС RU C-RU.ПБ68.В.00888/22</t>
  </si>
  <si>
    <t xml:space="preserve">15.03.2022</t>
  </si>
  <si>
    <t xml:space="preserve">по 14.03.2027 включительно</t>
  </si>
  <si>
    <t xml:space="preserve">ОС ООО «Пожарная Сертификационная Компания»</t>
  </si>
  <si>
    <t xml:space="preserve">1-СКС-АБК</t>
  </si>
  <si>
    <t xml:space="preserve">Пена монтажная огнестойкая профессиональная «ОГНЕЗА», EI24, 935 г, арт. 105248</t>
  </si>
  <si>
    <t xml:space="preserve">ООО «ОГНЕЗА»</t>
  </si>
  <si>
    <t xml:space="preserve">баллон</t>
  </si>
  <si>
    <t xml:space="preserve">СЕРТИФИКАТ СООТВЕТСТВИЯ (добровольная сертификация)</t>
  </si>
  <si>
    <t xml:space="preserve">ССБК BY.ПБ10.Н00558</t>
  </si>
  <si>
    <t xml:space="preserve">23.08.2024</t>
  </si>
  <si>
    <t xml:space="preserve">по 22.08.2029</t>
  </si>
  <si>
    <t xml:space="preserve">ОС «Полисерт» АНО «Электросерт»</t>
  </si>
  <si>
    <t xml:space="preserve">Герметик акриловый противопожарный «ОГНЕЗА-ВГ», 310 мл, арт. 105031</t>
  </si>
  <si>
    <t xml:space="preserve">картридж</t>
  </si>
  <si>
    <t xml:space="preserve">СЕРТИФИКАТ СООТВЕТСТВИЯ (добровольная сертификация) с приложением</t>
  </si>
  <si>
    <t xml:space="preserve">НСОПБ.RU.ЭО.ПР.254.Н.00072</t>
  </si>
  <si>
    <t xml:space="preserve">14.04.2025</t>
  </si>
  <si>
    <t xml:space="preserve">по 13.04.2030</t>
  </si>
  <si>
    <t xml:space="preserve">ОС ООО «Международный Сертификационный Альянс»</t>
  </si>
  <si>
    <t xml:space="preserve">АОСР № 2-СКС-АБК — монтаж кабеленесущих систем (лоток, кабель-каналы)</t>
  </si>
  <si>
    <t xml:space="preserve">Лоток проволочный 50×100, L3000, F5 Combitech, арт. FC5010</t>
  </si>
  <si>
    <t xml:space="preserve">АО «ДКС» (DKC)</t>
  </si>
  <si>
    <t xml:space="preserve">ИНФОРМАЦИОННОЕ ПИСЬМО органа по сертификации (продукция не включена в единые перечни)</t>
  </si>
  <si>
    <t xml:space="preserve">исх. № 2022</t>
  </si>
  <si>
    <t xml:space="preserve">31.10.2022</t>
  </si>
  <si>
    <t xml:space="preserve">—</t>
  </si>
  <si>
    <t xml:space="preserve">ОС ООО «Дельта Эксперт» (RA.RU.11НВ10)</t>
  </si>
  <si>
    <t xml:space="preserve">2-СКС-АБК</t>
  </si>
  <si>
    <t xml:space="preserve">Кабель-канал магистральный 40×25 ЭЛЕКОР</t>
  </si>
  <si>
    <t xml:space="preserve">АО «ИЭК ХОЛДИНГ» (IEK)</t>
  </si>
  <si>
    <t xml:space="preserve">СЕРТИФИКАТ СООТВЕТСТВИЯ (ТР ЕАЭС 043/2017) с приложениями № 1–2</t>
  </si>
  <si>
    <t xml:space="preserve">ЕАЭС RU C-RU.НВ88.В.00177/25</t>
  </si>
  <si>
    <t xml:space="preserve">19.02.2025</t>
  </si>
  <si>
    <t xml:space="preserve">по 27.09.2028 включительно</t>
  </si>
  <si>
    <t xml:space="preserve">ОС ООО «Национальная Лаборатория» (RA.RU.11НВ88)</t>
  </si>
  <si>
    <t xml:space="preserve">РЕШЕНИЕ органа по сертификации об отказе (ТР ТС 004/2011, ТР ТС 020/2011, ТР ЕАЭС 037/2016 не распространяются)</t>
  </si>
  <si>
    <t xml:space="preserve">№ 3035</t>
  </si>
  <si>
    <t xml:space="preserve">23.11.2022</t>
  </si>
  <si>
    <t xml:space="preserve">ОС ООО «НИЦ ТЕСТ» (RA.RU.11НВ63)</t>
  </si>
  <si>
    <t xml:space="preserve">Кабель-канал TA-GN 100×40, арт. 01782</t>
  </si>
  <si>
    <t xml:space="preserve">ЕАЭС RU C-RU.ПБ74.В.01121/25</t>
  </si>
  <si>
    <t xml:space="preserve">11.12.2025</t>
  </si>
  <si>
    <t xml:space="preserve">по 25.04.2029 включительно</t>
  </si>
  <si>
    <t xml:space="preserve">ОС «СЗРЦ СЕРТ» (ТРПБ.RU.ПБ74)</t>
  </si>
  <si>
    <t xml:space="preserve">РЕШЕНИЕ органа по сертификации об отказе (ТР ТС 010/2011, 004/2011, 020/2011)</t>
  </si>
  <si>
    <t xml:space="preserve">№ 51069</t>
  </si>
  <si>
    <t xml:space="preserve">23.07.2020</t>
  </si>
  <si>
    <t xml:space="preserve">ОС ООО «Центр Экспертиз «Атрибут» (RA.RU.10КА01)</t>
  </si>
  <si>
    <t xml:space="preserve">Кабель-канал 110×50 IN-Liner FRONT</t>
  </si>
  <si>
    <t xml:space="preserve">ИНФОРМАЦИОННОЕ ПИСЬМО изготовителя (пожарная безопасность, ГОСТ Р 53313-2009)</t>
  </si>
  <si>
    <t xml:space="preserve">исх. № 284</t>
  </si>
  <si>
    <t xml:space="preserve">29.08.2012</t>
  </si>
  <si>
    <t xml:space="preserve">ЗАО «ДКС»</t>
  </si>
  <si>
    <t xml:space="preserve">ЭКСПЕРТНОЕ ЗАКЛЮЧЕНИЕ по результатам санитарно-эпидемиологической экспертизы</t>
  </si>
  <si>
    <t xml:space="preserve">№ 170г/2017</t>
  </si>
  <si>
    <t xml:space="preserve">14.02.2017</t>
  </si>
  <si>
    <t xml:space="preserve">Орган инспекции ФГБУЗ ГЦГиЭ ФМБА России (RA.RU.710138)</t>
  </si>
  <si>
    <t xml:space="preserve">Угол внутренний изменяемый 110×50 IN-Liner FRONT</t>
  </si>
  <si>
    <t xml:space="preserve">шт.</t>
  </si>
  <si>
    <t xml:space="preserve">РЕШЕНИЕ органа по сертификации об отказе в обязательной сертификации (ст. 145 ч. 4 123-ФЗ)</t>
  </si>
  <si>
    <t xml:space="preserve">№ 524/15-РЗ</t>
  </si>
  <si>
    <t xml:space="preserve">29.12.2015</t>
  </si>
  <si>
    <t xml:space="preserve">ОС «ТПБ СЕРТ» ООО «Технологии пожарной безопасности» (ТРПБ.RU.ПБ25)</t>
  </si>
  <si>
    <t xml:space="preserve">АОСР № 3-СКС-АБК — прокладка кабельных линий</t>
  </si>
  <si>
    <t xml:space="preserve">Кабель витая пара F/UTP Cat 6 4×2×23AWG solid LSZH нг(А)-HF, Cabeus</t>
  </si>
  <si>
    <t xml:space="preserve">ООО «АнЛан»</t>
  </si>
  <si>
    <t xml:space="preserve">СЕРТИФИКАТ СООТВЕТСТВИЯ (ТР ТС 004/2011) с приложением</t>
  </si>
  <si>
    <t xml:space="preserve">ЕАЭС RU C-RU.АЖ38.В.00445/22</t>
  </si>
  <si>
    <t xml:space="preserve">21.03.2022</t>
  </si>
  <si>
    <t xml:space="preserve">по 20.03.2027 включительно</t>
  </si>
  <si>
    <t xml:space="preserve">ОС ООО МЦИС «ЕвроСерт» (RA.RU.11АЖ38)</t>
  </si>
  <si>
    <t xml:space="preserve">3-СКС-АБК</t>
  </si>
  <si>
    <t xml:space="preserve">СЕРТИФИКАТ СООТВЕТСТВИЯ (добровольная сертификация, система «Прибор-Эксперт», ГОСТ Р 54429-2009)</t>
  </si>
  <si>
    <t xml:space="preserve">РОСС CN.НВ61.Н29435</t>
  </si>
  <si>
    <t xml:space="preserve">14.10.2021</t>
  </si>
  <si>
    <t xml:space="preserve">по 13.10.2026</t>
  </si>
  <si>
    <t xml:space="preserve">ОС ООО «ЦЕТРИМ» (RA.RU.11НВ61)</t>
  </si>
  <si>
    <t xml:space="preserve">ПАСПОРТ изготовителя (кабель «витая пара» кат. 6, внутренней прокладки)</t>
  </si>
  <si>
    <t xml:space="preserve">Cabeus</t>
  </si>
  <si>
    <t xml:space="preserve">Кабель витая пара ParLan U/UTP Cat 5e 4×2×0,52 PVC</t>
  </si>
  <si>
    <t xml:space="preserve">ООО «ТПД Паритет»</t>
  </si>
  <si>
    <t xml:space="preserve">ЕАЭС RU C-RU.АЮ64.В.00680/25</t>
  </si>
  <si>
    <t xml:space="preserve">17.01.2025</t>
  </si>
  <si>
    <t xml:space="preserve">по 16.01.2030 включительно</t>
  </si>
  <si>
    <t xml:space="preserve">ОС «ПОЛИСЕРТ» АНО «Электросерт» (RA.RU.10АЮ64)</t>
  </si>
  <si>
    <t xml:space="preserve">СЕРТИФИКАТ СООТВЕТСТВИЯ (обязательная сертификация, 123-ФЗ) с приложением № 1</t>
  </si>
  <si>
    <t xml:space="preserve">RU C-RU.АЮ64.В.00546/24</t>
  </si>
  <si>
    <t xml:space="preserve">17.12.2024</t>
  </si>
  <si>
    <t xml:space="preserve">по 16.12.2029</t>
  </si>
  <si>
    <t xml:space="preserve">Труба гофрированная ПВХ серая с/з d20 мм «Строитель», арт. PR.032000</t>
  </si>
  <si>
    <t xml:space="preserve">«Промрукав» (ООО «НЕПТУН»)</t>
  </si>
  <si>
    <t xml:space="preserve">ЕАЭС RU C-RU.ПБ74.В.00766/23</t>
  </si>
  <si>
    <t xml:space="preserve">30.08.2023</t>
  </si>
  <si>
    <t xml:space="preserve">по 25.05.2027 включительно</t>
  </si>
  <si>
    <t xml:space="preserve">ОС «СЗРЦ СЕРТ»</t>
  </si>
  <si>
    <t xml:space="preserve">ПАСПОРТ изготовителя (труба гофрированная ПВХ серая)</t>
  </si>
  <si>
    <t xml:space="preserve">Скоба металлическая однолапковая СМО 19-20, арт. PR08.2534</t>
  </si>
  <si>
    <t xml:space="preserve">«Промрукав»</t>
  </si>
  <si>
    <t xml:space="preserve">ПАСПОРТ</t>
  </si>
  <si>
    <t xml:space="preserve">Изготовитель «Промрукав»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</si>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</sst>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46.2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3.8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4</v>
      </c>
      <c r="L13" s="7" t="s">
        <v>28</v>
      </c>
    </row>
    <row r="14" customFormat="false" ht="35.05" hidden="false" customHeight="false" outlineLevel="0" collapsed="false">
      <c r="A14" s="7" t="n">
        <v>2</v>
      </c>
      <c r="B14" s="8" t="s">
        <v>29</v>
      </c>
      <c r="C14" s="8" t="s">
        <v>30</v>
      </c>
      <c r="D14" s="7" t="s">
        <v>31</v>
      </c>
      <c r="E14" s="7" t="n">
        <v>1</v>
      </c>
      <c r="F14" s="8" t="s">
        <v>32</v>
      </c>
      <c r="G14" s="8" t="s">
        <v>33</v>
      </c>
      <c r="H14" s="7" t="s">
        <v>34</v>
      </c>
      <c r="I14" s="8" t="s">
        <v>35</v>
      </c>
      <c r="J14" s="8" t="s">
        <v>36</v>
      </c>
      <c r="K14" s="7" t="n">
        <v>1</v>
      </c>
      <c r="L14" s="7" t="s">
        <v>28</v>
      </c>
    </row>
    <row r="15" customFormat="false" ht="46.25" hidden="false" customHeight="false" outlineLevel="0" collapsed="false">
      <c r="A15" s="7" t="n">
        <v>3</v>
      </c>
      <c r="B15" s="8" t="s">
        <v>37</v>
      </c>
      <c r="C15" s="8" t="s">
        <v>30</v>
      </c>
      <c r="D15" s="7" t="s">
        <v>38</v>
      </c>
      <c r="E15" s="7" t="n">
        <v>1</v>
      </c>
      <c r="F15" s="8" t="s">
        <v>39</v>
      </c>
      <c r="G15" s="8" t="s">
        <v>40</v>
      </c>
      <c r="H15" s="7" t="s">
        <v>41</v>
      </c>
      <c r="I15" s="8" t="s">
        <v>42</v>
      </c>
      <c r="J15" s="8" t="s">
        <v>43</v>
      </c>
      <c r="K15" s="7" t="n">
        <v>2</v>
      </c>
      <c r="L15" s="7" t="s">
        <v>28</v>
      </c>
    </row>
    <row r="16" customFormat="false" ht="15" hidden="false" customHeight="false" outlineLevel="0" collapsed="false">
      <c r="A16" s="6" t="s">
        <v>44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46.25" hidden="false" customHeight="false" outlineLevel="0" collapsed="false">
      <c r="A17" s="7" t="n">
        <v>4</v>
      </c>
      <c r="B17" s="8" t="s">
        <v>45</v>
      </c>
      <c r="C17" s="8" t="s">
        <v>46</v>
      </c>
      <c r="D17" s="7" t="s">
        <v>22</v>
      </c>
      <c r="E17" s="7" t="n">
        <v>25</v>
      </c>
      <c r="F17" s="8" t="s">
        <v>47</v>
      </c>
      <c r="G17" s="8" t="s">
        <v>48</v>
      </c>
      <c r="H17" s="7" t="s">
        <v>49</v>
      </c>
      <c r="I17" s="8" t="s">
        <v>50</v>
      </c>
      <c r="J17" s="8" t="s">
        <v>51</v>
      </c>
      <c r="K17" s="7" t="n">
        <v>8</v>
      </c>
      <c r="L17" s="7" t="s">
        <v>52</v>
      </c>
    </row>
    <row r="18" customFormat="false" ht="46.25" hidden="false" customHeight="false" outlineLevel="0" collapsed="false">
      <c r="A18" s="7" t="n">
        <v>5</v>
      </c>
      <c r="B18" s="8" t="s">
        <v>53</v>
      </c>
      <c r="C18" s="8" t="s">
        <v>54</v>
      </c>
      <c r="D18" s="7" t="s">
        <v>22</v>
      </c>
      <c r="E18" s="7" t="n">
        <v>96</v>
      </c>
      <c r="F18" s="8" t="s">
        <v>55</v>
      </c>
      <c r="G18" s="8" t="s">
        <v>56</v>
      </c>
      <c r="H18" s="7" t="s">
        <v>57</v>
      </c>
      <c r="I18" s="8" t="s">
        <v>58</v>
      </c>
      <c r="J18" s="8" t="s">
        <v>59</v>
      </c>
      <c r="K18" s="7" t="n">
        <v>3</v>
      </c>
      <c r="L18" s="7" t="s">
        <v>52</v>
      </c>
    </row>
    <row r="19" customFormat="false" ht="57.45" hidden="false" customHeight="false" outlineLevel="0" collapsed="false">
      <c r="A19" s="7" t="n">
        <v>6</v>
      </c>
      <c r="B19" s="8" t="s">
        <v>53</v>
      </c>
      <c r="C19" s="8" t="s">
        <v>54</v>
      </c>
      <c r="D19" s="7" t="s">
        <v>22</v>
      </c>
      <c r="E19" s="7" t="n">
        <v>96</v>
      </c>
      <c r="F19" s="8" t="s">
        <v>60</v>
      </c>
      <c r="G19" s="8" t="s">
        <v>61</v>
      </c>
      <c r="H19" s="7" t="s">
        <v>62</v>
      </c>
      <c r="I19" s="8" t="s">
        <v>50</v>
      </c>
      <c r="J19" s="8" t="s">
        <v>63</v>
      </c>
      <c r="K19" s="7" t="n">
        <v>2</v>
      </c>
      <c r="L19" s="7" t="s">
        <v>52</v>
      </c>
    </row>
    <row r="20" customFormat="false" ht="46.25" hidden="false" customHeight="false" outlineLevel="0" collapsed="false">
      <c r="A20" s="7" t="n">
        <v>7</v>
      </c>
      <c r="B20" s="8" t="s">
        <v>64</v>
      </c>
      <c r="C20" s="8" t="s">
        <v>46</v>
      </c>
      <c r="D20" s="7" t="s">
        <v>22</v>
      </c>
      <c r="E20" s="7" t="n">
        <v>8</v>
      </c>
      <c r="F20" s="8" t="s">
        <v>55</v>
      </c>
      <c r="G20" s="8" t="s">
        <v>65</v>
      </c>
      <c r="H20" s="7" t="s">
        <v>66</v>
      </c>
      <c r="I20" s="8" t="s">
        <v>67</v>
      </c>
      <c r="J20" s="8" t="s">
        <v>68</v>
      </c>
      <c r="K20" s="7" t="n">
        <v>6</v>
      </c>
      <c r="L20" s="7" t="s">
        <v>52</v>
      </c>
    </row>
    <row r="21" customFormat="false" ht="46.25" hidden="false" customHeight="false" outlineLevel="0" collapsed="false">
      <c r="A21" s="7" t="n">
        <v>8</v>
      </c>
      <c r="B21" s="8" t="s">
        <v>64</v>
      </c>
      <c r="C21" s="8" t="s">
        <v>46</v>
      </c>
      <c r="D21" s="7" t="s">
        <v>22</v>
      </c>
      <c r="E21" s="7" t="n">
        <v>8</v>
      </c>
      <c r="F21" s="8" t="s">
        <v>69</v>
      </c>
      <c r="G21" s="8" t="s">
        <v>70</v>
      </c>
      <c r="H21" s="7" t="s">
        <v>71</v>
      </c>
      <c r="I21" s="8" t="s">
        <v>50</v>
      </c>
      <c r="J21" s="8" t="s">
        <v>72</v>
      </c>
      <c r="K21" s="7" t="n">
        <v>1</v>
      </c>
      <c r="L21" s="7" t="s">
        <v>52</v>
      </c>
    </row>
    <row r="22" customFormat="false" ht="46.25" hidden="false" customHeight="false" outlineLevel="0" collapsed="false">
      <c r="A22" s="7" t="n">
        <v>9</v>
      </c>
      <c r="B22" s="8" t="s">
        <v>73</v>
      </c>
      <c r="C22" s="8" t="s">
        <v>46</v>
      </c>
      <c r="D22" s="7" t="s">
        <v>22</v>
      </c>
      <c r="E22" s="7" t="n">
        <v>6</v>
      </c>
      <c r="F22" s="8" t="s">
        <v>74</v>
      </c>
      <c r="G22" s="8" t="s">
        <v>75</v>
      </c>
      <c r="H22" s="7" t="s">
        <v>76</v>
      </c>
      <c r="I22" s="8" t="s">
        <v>50</v>
      </c>
      <c r="J22" s="8" t="s">
        <v>77</v>
      </c>
      <c r="K22" s="7" t="n">
        <v>1</v>
      </c>
      <c r="L22" s="7" t="s">
        <v>52</v>
      </c>
    </row>
    <row r="23" customFormat="false" ht="57.45" hidden="false" customHeight="false" outlineLevel="0" collapsed="false">
      <c r="A23" s="7" t="n">
        <v>10</v>
      </c>
      <c r="B23" s="8" t="s">
        <v>73</v>
      </c>
      <c r="C23" s="8" t="s">
        <v>46</v>
      </c>
      <c r="D23" s="7" t="s">
        <v>22</v>
      </c>
      <c r="E23" s="7" t="n">
        <v>6</v>
      </c>
      <c r="F23" s="8" t="s">
        <v>78</v>
      </c>
      <c r="G23" s="8" t="s">
        <v>79</v>
      </c>
      <c r="H23" s="7" t="s">
        <v>80</v>
      </c>
      <c r="I23" s="8" t="s">
        <v>50</v>
      </c>
      <c r="J23" s="8" t="s">
        <v>81</v>
      </c>
      <c r="K23" s="7" t="n">
        <v>3</v>
      </c>
      <c r="L23" s="7" t="s">
        <v>52</v>
      </c>
    </row>
    <row r="24" customFormat="false" ht="46.25" hidden="false" customHeight="false" outlineLevel="0" collapsed="false">
      <c r="A24" s="7" t="n">
        <v>11</v>
      </c>
      <c r="B24" s="8" t="s">
        <v>82</v>
      </c>
      <c r="C24" s="8" t="s">
        <v>46</v>
      </c>
      <c r="D24" s="7" t="s">
        <v>83</v>
      </c>
      <c r="E24" s="7" t="n">
        <v>2</v>
      </c>
      <c r="F24" s="8" t="s">
        <v>84</v>
      </c>
      <c r="G24" s="8" t="s">
        <v>85</v>
      </c>
      <c r="H24" s="7" t="s">
        <v>86</v>
      </c>
      <c r="I24" s="8" t="s">
        <v>50</v>
      </c>
      <c r="J24" s="8" t="s">
        <v>87</v>
      </c>
      <c r="K24" s="7" t="n">
        <v>1</v>
      </c>
      <c r="L24" s="7" t="s">
        <v>52</v>
      </c>
    </row>
    <row r="25" customFormat="false" ht="15" hidden="false" customHeight="false" outlineLevel="0" collapsed="false">
      <c r="A25" s="6" t="s">
        <v>88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35.05" hidden="false" customHeight="false" outlineLevel="0" collapsed="false">
      <c r="A26" s="7" t="n">
        <v>12</v>
      </c>
      <c r="B26" s="8" t="s">
        <v>89</v>
      </c>
      <c r="C26" s="8" t="s">
        <v>90</v>
      </c>
      <c r="D26" s="7" t="s">
        <v>22</v>
      </c>
      <c r="E26" s="7" t="n">
        <v>578</v>
      </c>
      <c r="F26" s="8" t="s">
        <v>91</v>
      </c>
      <c r="G26" s="8" t="s">
        <v>92</v>
      </c>
      <c r="H26" s="7" t="s">
        <v>93</v>
      </c>
      <c r="I26" s="8" t="s">
        <v>94</v>
      </c>
      <c r="J26" s="8" t="s">
        <v>95</v>
      </c>
      <c r="K26" s="7" t="n">
        <v>3</v>
      </c>
      <c r="L26" s="7" t="s">
        <v>96</v>
      </c>
    </row>
    <row r="27" customFormat="false" ht="57.45" hidden="false" customHeight="false" outlineLevel="0" collapsed="false">
      <c r="A27" s="7" t="n">
        <v>13</v>
      </c>
      <c r="B27" s="8" t="s">
        <v>89</v>
      </c>
      <c r="C27" s="8" t="s">
        <v>90</v>
      </c>
      <c r="D27" s="7" t="s">
        <v>22</v>
      </c>
      <c r="E27" s="7" t="n">
        <v>578</v>
      </c>
      <c r="F27" s="8" t="s">
        <v>97</v>
      </c>
      <c r="G27" s="8" t="s">
        <v>98</v>
      </c>
      <c r="H27" s="7" t="s">
        <v>99</v>
      </c>
      <c r="I27" s="8" t="s">
        <v>100</v>
      </c>
      <c r="J27" s="8" t="s">
        <v>101</v>
      </c>
      <c r="K27" s="7" t="n">
        <v>1</v>
      </c>
      <c r="L27" s="7" t="s">
        <v>96</v>
      </c>
    </row>
    <row r="28" customFormat="false" ht="35.05" hidden="false" customHeight="false" outlineLevel="0" collapsed="false">
      <c r="A28" s="7" t="n">
        <v>14</v>
      </c>
      <c r="B28" s="8" t="s">
        <v>89</v>
      </c>
      <c r="C28" s="8" t="s">
        <v>90</v>
      </c>
      <c r="D28" s="7" t="s">
        <v>22</v>
      </c>
      <c r="E28" s="7" t="n">
        <v>578</v>
      </c>
      <c r="F28" s="8" t="s">
        <v>102</v>
      </c>
      <c r="G28" s="8" t="s">
        <v>50</v>
      </c>
      <c r="H28" s="7" t="s">
        <v>50</v>
      </c>
      <c r="I28" s="8" t="s">
        <v>50</v>
      </c>
      <c r="J28" s="8" t="s">
        <v>103</v>
      </c>
      <c r="K28" s="7" t="n">
        <v>4</v>
      </c>
      <c r="L28" s="7" t="s">
        <v>96</v>
      </c>
    </row>
    <row r="29" customFormat="false" ht="35.05" hidden="false" customHeight="false" outlineLevel="0" collapsed="false">
      <c r="A29" s="7" t="n">
        <v>15</v>
      </c>
      <c r="B29" s="8" t="s">
        <v>104</v>
      </c>
      <c r="C29" s="8" t="s">
        <v>105</v>
      </c>
      <c r="D29" s="7" t="s">
        <v>22</v>
      </c>
      <c r="E29" s="7" t="n">
        <v>95</v>
      </c>
      <c r="F29" s="8" t="s">
        <v>91</v>
      </c>
      <c r="G29" s="8" t="s">
        <v>106</v>
      </c>
      <c r="H29" s="7" t="s">
        <v>107</v>
      </c>
      <c r="I29" s="8" t="s">
        <v>108</v>
      </c>
      <c r="J29" s="8" t="s">
        <v>109</v>
      </c>
      <c r="K29" s="7" t="n">
        <v>2</v>
      </c>
      <c r="L29" s="7" t="s">
        <v>96</v>
      </c>
    </row>
    <row r="30" customFormat="false" ht="46.25" hidden="false" customHeight="false" outlineLevel="0" collapsed="false">
      <c r="A30" s="7" t="n">
        <v>16</v>
      </c>
      <c r="B30" s="8" t="s">
        <v>104</v>
      </c>
      <c r="C30" s="8" t="s">
        <v>105</v>
      </c>
      <c r="D30" s="7" t="s">
        <v>22</v>
      </c>
      <c r="E30" s="7" t="n">
        <v>95</v>
      </c>
      <c r="F30" s="8" t="s">
        <v>110</v>
      </c>
      <c r="G30" s="8" t="s">
        <v>111</v>
      </c>
      <c r="H30" s="7" t="s">
        <v>112</v>
      </c>
      <c r="I30" s="8" t="s">
        <v>113</v>
      </c>
      <c r="J30" s="8" t="s">
        <v>109</v>
      </c>
      <c r="K30" s="7" t="n">
        <v>2</v>
      </c>
      <c r="L30" s="7" t="s">
        <v>96</v>
      </c>
    </row>
    <row r="31" customFormat="false" ht="46.25" hidden="false" customHeight="false" outlineLevel="0" collapsed="false">
      <c r="A31" s="7" t="n">
        <v>17</v>
      </c>
      <c r="B31" s="8" t="s">
        <v>114</v>
      </c>
      <c r="C31" s="8" t="s">
        <v>115</v>
      </c>
      <c r="D31" s="7" t="s">
        <v>22</v>
      </c>
      <c r="E31" s="7" t="n">
        <v>400</v>
      </c>
      <c r="F31" s="8" t="s">
        <v>55</v>
      </c>
      <c r="G31" s="8" t="s">
        <v>116</v>
      </c>
      <c r="H31" s="7" t="s">
        <v>117</v>
      </c>
      <c r="I31" s="8" t="s">
        <v>118</v>
      </c>
      <c r="J31" s="8" t="s">
        <v>119</v>
      </c>
      <c r="K31" s="7" t="n">
        <v>3</v>
      </c>
      <c r="L31" s="7" t="s">
        <v>96</v>
      </c>
    </row>
    <row r="32" customFormat="false" ht="35.05" hidden="false" customHeight="false" outlineLevel="0" collapsed="false">
      <c r="A32" s="7" t="n">
        <v>18</v>
      </c>
      <c r="B32" s="8" t="s">
        <v>114</v>
      </c>
      <c r="C32" s="8" t="s">
        <v>115</v>
      </c>
      <c r="D32" s="7" t="s">
        <v>22</v>
      </c>
      <c r="E32" s="7" t="n">
        <v>400</v>
      </c>
      <c r="F32" s="8" t="s">
        <v>120</v>
      </c>
      <c r="G32" s="8" t="s">
        <v>50</v>
      </c>
      <c r="H32" s="7" t="s">
        <v>50</v>
      </c>
      <c r="I32" s="8" t="s">
        <v>50</v>
      </c>
      <c r="J32" s="8" t="s">
        <v>115</v>
      </c>
      <c r="K32" s="7" t="n">
        <v>2</v>
      </c>
      <c r="L32" s="7" t="s">
        <v>96</v>
      </c>
    </row>
    <row r="33" customFormat="false" ht="23.85" hidden="false" customHeight="false" outlineLevel="0" collapsed="false">
      <c r="A33" s="7" t="n">
        <v>19</v>
      </c>
      <c r="B33" s="8" t="s">
        <v>121</v>
      </c>
      <c r="C33" s="8" t="s">
        <v>122</v>
      </c>
      <c r="D33" s="7" t="s">
        <v>83</v>
      </c>
      <c r="E33" s="7" t="n">
        <v>800</v>
      </c>
      <c r="F33" s="8" t="s">
        <v>123</v>
      </c>
      <c r="G33" s="8" t="s">
        <v>50</v>
      </c>
      <c r="H33" s="7" t="s">
        <v>50</v>
      </c>
      <c r="I33" s="8" t="s">
        <v>50</v>
      </c>
      <c r="J33" s="8" t="s">
        <v>124</v>
      </c>
      <c r="K33" s="7" t="n">
        <v>2</v>
      </c>
      <c r="L33" s="7" t="s">
        <v>96</v>
      </c>
    </row>
    <row r="35" customFormat="false" ht="15" hidden="false" customHeight="false" outlineLevel="0" collapsed="false">
      <c r="A35" s="9" t="str">
        <f aca="false">CONCATENATE("Всего позиций: ",COUNTA(B12:B33),"; листов копий: ",SUM(K12:K33))</f>
        <v>Всего позиций: 19; листов копий: 51</v>
      </c>
      <c r="B35" s="9"/>
      <c r="C35" s="9"/>
      <c r="D35" s="9"/>
      <c r="E35" s="9"/>
      <c r="F35" s="9"/>
    </row>
    <row r="37" customFormat="false" ht="15" hidden="false" customHeight="false" outlineLevel="0" collapsed="false">
      <c r="A37" s="9" t="s">
        <v>125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10" t="s">
        <v>126</v>
      </c>
      <c r="B38" s="10"/>
      <c r="C38" s="10"/>
      <c r="D38" s="10"/>
      <c r="E38" s="10"/>
      <c r="F38" s="10"/>
      <c r="G38" s="11" t="s">
        <v>127</v>
      </c>
      <c r="H38" s="11"/>
      <c r="I38" s="11"/>
      <c r="J38" s="11" t="s">
        <v>128</v>
      </c>
      <c r="K38" s="11"/>
      <c r="L38" s="11"/>
    </row>
    <row r="39" customFormat="false" ht="15" hidden="false" customHeight="false" outlineLevel="0" collapsed="false">
      <c r="G39" s="12" t="s">
        <v>129</v>
      </c>
      <c r="H39" s="12"/>
      <c r="I39" s="12"/>
    </row>
    <row r="41" customFormat="false" ht="15" hidden="false" customHeight="false" outlineLevel="0" collapsed="false">
      <c r="A41" s="9" t="s">
        <v>130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customFormat="false" ht="15" hidden="false" customHeight="false" outlineLevel="0" collapsed="false">
      <c r="A42" s="10" t="s">
        <v>131</v>
      </c>
      <c r="B42" s="10"/>
      <c r="C42" s="10"/>
      <c r="D42" s="10"/>
      <c r="E42" s="10"/>
      <c r="F42" s="10"/>
      <c r="G42" s="11" t="s">
        <v>127</v>
      </c>
      <c r="H42" s="11"/>
      <c r="I42" s="11"/>
      <c r="J42" s="11" t="s">
        <v>128</v>
      </c>
      <c r="K42" s="11"/>
      <c r="L42" s="11"/>
    </row>
    <row r="43" customFormat="false" ht="15" hidden="false" customHeight="false" outlineLevel="0" collapsed="false">
      <c r="G43" s="12" t="s">
        <v>129</v>
      </c>
      <c r="H43" s="12"/>
      <c r="I43" s="12"/>
    </row>
    <row r="45" customFormat="false" ht="30" hidden="false" customHeight="true" outlineLevel="0" collapsed="false">
      <c r="A45" s="13" t="s">
        <v>132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</sheetData>
  <mergeCells count="22">
    <mergeCell ref="A1:L1"/>
    <mergeCell ref="A2:L2"/>
    <mergeCell ref="A3:L3"/>
    <mergeCell ref="A4:L4"/>
    <mergeCell ref="A5:L5"/>
    <mergeCell ref="A7:L7"/>
    <mergeCell ref="A8:L8"/>
    <mergeCell ref="A12:L12"/>
    <mergeCell ref="A16:L16"/>
    <mergeCell ref="A25:L25"/>
    <mergeCell ref="A35:F35"/>
    <mergeCell ref="A37:L37"/>
    <mergeCell ref="A38:F38"/>
    <mergeCell ref="G38:I38"/>
    <mergeCell ref="J38:L38"/>
    <mergeCell ref="G39:I39"/>
    <mergeCell ref="A41:L41"/>
    <mergeCell ref="A42:F42"/>
    <mergeCell ref="G42:I42"/>
    <mergeCell ref="J42:L42"/>
    <mergeCell ref="G43:I43"/>
    <mergeCell ref="A45:L4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2026-10-29T17:15:34Z</dcterms:created>
  <dc:creator>openpyxl</dc:creator>
  <dc:description/>
  <dc:language>en-US</dc:language>
  <cp:lastModifiedBy/>
  <dcterms:modified xsi:type="dcterms:W3CDTF">2026-10-29T17:15:34Z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
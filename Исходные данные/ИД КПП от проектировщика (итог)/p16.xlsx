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КПП\"/>
    </mc:Choice>
  </mc:AlternateContent>
  <xr:revisionPtr revIDLastSave="0" documentId="13_ncr:1_{3C73BD0F-C69F-446C-98CD-55BEDCB6EF95}" xr6:coauthVersionLast="45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Сводная изделий" sheetId="3" r:id="rId1"/>
    <sheet name="СКУД" sheetId="4" r:id="rId2"/>
    <sheet name="СПС" sheetId="5" r:id="rId3"/>
    <sheet name="СОТ" sheetId="7" r:id="rId4"/>
    <sheet name="СКС" sheetId="8" r:id="rId5"/>
    <sheet name="СОТС" sheetId="6" r:id="rId6"/>
  </sheets>
  <externalReferences>
    <externalReference r:id="rId7"/>
  </externalReferences>
  <definedNames>
    <definedName name="_xlnm._FilterDatabase" localSheetId="0">'Сводная изделий'!$A$1:$E$33</definedName>
    <definedName name="_xlnm.Print_Titles" localSheetId="0">'Сводная изделий'!$1:$1</definedName>
    <definedName name="_xlnm.Print_Area" localSheetId="0">'Сводная изделий'!$A$1:$E$33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5" i="3" l="1"/>
  <c r="E64" i="3"/>
  <c r="E63" i="3"/>
</calcChain>
</file>

<file path=xl/sharedStrings.xml><?xml version="1.0" encoding="utf-8"?>
<sst xmlns="http://schemas.openxmlformats.org/spreadsheetml/2006/main" count="426" uniqueCount="102">
  <si>
    <t>№</t>
  </si>
  <si>
    <t>Ед.</t>
  </si>
  <si>
    <t>MK 300 (серый) Монтажный комплект для замка ALM-300P на L- образном уголке с декоративным кожухом и планкой. Цвет: серый.</t>
  </si>
  <si>
    <t>шт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</si>
  <si>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</si>
  <si>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КОБАЛЬТ Заклепки резьбовые стальные, M4 х 10.5 мм 50 шт. пакет 791-486</t>
  </si>
  <si>
    <t>Скоба металлическая однолапковая СМО 19-20 (100 шт)(PR08.2534)</t>
  </si>
  <si>
    <t>PR08.2534</t>
  </si>
  <si>
    <t>Труба гофрированная ПВХ серая с/з d20 мм (100м/4800м уп/ пал) Строитель (PR.032000)</t>
  </si>
  <si>
    <t>PR.032000</t>
  </si>
  <si>
    <t>м</t>
  </si>
  <si>
    <t>88009-0040 AV45B51 Выключатель без фиксации, белый</t>
  </si>
  <si>
    <t>AL-300 12V Premium (серый) замок электромагнитный 300 кг</t>
  </si>
  <si>
    <t>CAME 001YE0043 корпус выключателя</t>
  </si>
  <si>
    <t>CAME ATI5000A RC combo KIT Комплект автоматики для двухстворчатых распашных ворот: A5000A - Привод 230 В линейный самоблокирующ ийся для створки до 5 м и массой 1000 кг - 2 шт, ZF1N - Блок управления-1 шт., AF43S - Плата- радиоприемник 433.92 МГц-1 шт., TOP44RBN - Брелок- передатчик 4- х канальный с динамическим кодом -1 шт., DIR10 - Комплект фотоэлементов / передатчик, приемник / накладные, дальность 10 м -1 шт. Линейный привод для створки до 5 м, до 1000 кг, 230 В, время открывания на 90° - 32 с, 150 Вт, IP44, -20...+55°C. Интенсивность использования 50%</t>
  </si>
  <si>
    <t>Proxy-4E Считыватель проксимити карты EM-Marin накладной</t>
  </si>
  <si>
    <t>ST-ER115 устройство разблокировки двери</t>
  </si>
  <si>
    <t>ST-EX020LSM-BK Кнопка выхода сенсорная, накладная, пластик, НЗ/НР контакты, IP54, -20...+45°C, 12-24 В(DC), 50 мА, 86х50х20 мм, черная</t>
  </si>
  <si>
    <t>ST-EX241L Кнопка металлическая; накладная; 2-х цветный индикатор; НР контакты; размер: 80х32х32 мм.</t>
  </si>
  <si>
    <t>TR- NS14202S-185-16P - Неуправляемый коммутатор TRASSIR с 16 PoE портами (10/100/1000 Мбит/с Base-T PoE port),и 2 SFP портами и 2 RJ-45 Uplink ports.</t>
  </si>
  <si>
    <t>TR-D2151IR3 v7 (D) 2.8 - IP- камера TRASSIR сборки РФ</t>
  </si>
  <si>
    <t>TR-D2151IR3 v7</t>
  </si>
  <si>
    <t>TR-D3121IR3 v7 2.8 IP-камера TRASSIR</t>
  </si>
  <si>
    <t>TR-D3121IR3 v7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</si>
  <si>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</si>
  <si>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</si>
  <si>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Извещатель охранный ИО 102-20/Б2П (2) Магнитоконтакт ный, раб.заз. не менее 30мм, в пласт.корп.</t>
  </si>
  <si>
    <t>Извещатель пожарный ручной адресный ИПР 513-ЗАМ исп.01</t>
  </si>
  <si>
    <t>Коммутатор Eltex MES2428 АС управляемый</t>
  </si>
  <si>
    <t>Контроллер доступа С2000-2</t>
  </si>
  <si>
    <t>Механизм Brava 76644B розетки телефонной 1 вход 6 конт. 1 модуль с/п белый ДКС</t>
  </si>
  <si>
    <t>Оповещатель световой адресный С2000- ОСТ исп.01 с надписью «Выход»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</si>
  <si>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</si>
  <si>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Полис-12 замок электромеханиче ский накладной</t>
  </si>
  <si>
    <t>Радиотелефон Panasonic KX- TG6811RUB</t>
  </si>
  <si>
    <t>KX- TG6811RUB</t>
  </si>
  <si>
    <t>С2000- КДЛ-2И исп.01 Контроллер двухпроводной линии с двумя интерфейсами RS485.</t>
  </si>
  <si>
    <t>С2000- ОПЗ белый Оповещатель звуковой адресный</t>
  </si>
  <si>
    <t>С2000-СП2 исп.02, адресный релейный блок</t>
  </si>
  <si>
    <t>Системный телефон STA30G</t>
  </si>
  <si>
    <t>Телефон VoiceIP Fanvil X301P черный</t>
  </si>
  <si>
    <t>X301P</t>
  </si>
  <si>
    <t>Телефон проводной TeXet TX-241 [повторный набор, регулятор громкости звонка, черный]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</si>
  <si>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</si>
  <si>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Шкаф настенный Cabeus SH-05F-15U60/60-R 15U 600мм дверь стекло, серый</t>
  </si>
  <si>
    <t>SH-05F-15U60/60-R</t>
  </si>
  <si>
    <t>ШПС-24 исп.12 Шкаф пожарной сигнализации IP54</t>
  </si>
  <si>
    <t>Модель или артикул в наименовании</t>
  </si>
  <si>
    <t>Всего</t>
  </si>
  <si>
    <t>MAXICOM|14</t>
  </si>
  <si>
    <t>Аккумулятор DT 12В 18Ач</t>
  </si>
  <si>
    <t>Delta</t>
  </si>
  <si>
    <t>Кабель парной скрутки КПСнг(A)-FRHF 1х2х0.75</t>
  </si>
  <si>
    <t>Технокабель НН</t>
  </si>
  <si>
    <t>Провод ПВС 3х2.5 белый</t>
  </si>
  <si>
    <t>РЭК/Prysmian</t>
  </si>
  <si>
    <t>Провод ПВС 3х1.5 белый</t>
  </si>
  <si>
    <t>Кабель ВВГ нг(А)FRLS 3х2.5 0.66кВ (бухта)</t>
  </si>
  <si>
    <t>ЭлПром</t>
  </si>
  <si>
    <t>Витая пара ParLan U/UTP Cat 5e 4х2х0.52 PVC</t>
  </si>
  <si>
    <t>Паритет</t>
  </si>
  <si>
    <t>Витая пара F/UTP Cat 6 4 пары 23 AWG solid LSZH нг</t>
  </si>
  <si>
    <t>Cabeus</t>
  </si>
  <si>
    <t>DKC</t>
  </si>
  <si>
    <t>Кабель-канал 110x50 IN-Liner FRONT DKC</t>
  </si>
  <si>
    <t>Кабель-канал магистральный 25х16 ЭЛЕКОР (50м)</t>
  </si>
  <si>
    <t>IEK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</si>
  <si>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</si>
  <si>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</si>
  <si>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</si>
  <si>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</si>
  <si>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BRAVA Розетка компьютерная RJ45 (разъем PcNet) 1 м</t>
  </si>
  <si>
    <t>Розетка компьютерная RJ-45(8P8C), категория 6, экр</t>
  </si>
  <si>
    <t>Угол внутренний изменяемый 110х50 IN-Liner FRONT</t>
  </si>
  <si>
    <t>Угол плоский Г-образный 110х50 IN-Liner FRONT</t>
  </si>
  <si>
    <t>BRAVA Заглушка 1 модуль белая</t>
  </si>
  <si>
    <t>BRAVA Каркас 2 модуля белый IN-Liner FRONT</t>
  </si>
  <si>
    <t>Каркас под 2 модуля ЭУИ Вива (Viva), белый</t>
  </si>
  <si>
    <t>Рамка универсальная на 2 модуля, цвет белый</t>
  </si>
  <si>
    <t>Труба гладкая ПВХ жесткая d20мм (2м) (50м/уп) сера</t>
  </si>
  <si>
    <t>trg-20-2m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</si>
  <si>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</si>
  <si>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</si>
  <si>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 xml:space="preserve">Наименование </t>
  </si>
  <si>
    <t>Дорожный блокиратор механический/ручной (ширина 3.5м) 42.11.10-35202929-01П</t>
  </si>
  <si>
    <t>Коробка огнестойкая для о/п 40-0300-FR6.0-4 Е15-Е120 RAL2004 100х100х50 (14 шт/кор) Промрукав</t>
  </si>
  <si>
    <t>Блок контроля и индикации  С2000-БКИ (2xRS-485) (два интерфейса RS-485)</t>
  </si>
  <si>
    <t>4900874</t>
  </si>
  <si>
    <t>Пена огнестойкая монтажная профессиональная, EI24</t>
  </si>
  <si>
    <t>Огнеза</t>
  </si>
  <si>
    <t>9489640</t>
  </si>
  <si>
    <t>'Акриловый противопожарный герметик ''ОГНЕЗА-ВГ''</t>
  </si>
  <si>
    <t>6793437</t>
  </si>
  <si>
    <t>Очиститель монтажной пены 500 мл</t>
  </si>
  <si>
    <t>REXANT</t>
  </si>
  <si>
    <t>Монитор домофона цветной DS-D100MF</t>
  </si>
  <si>
    <t>Вызывная панель цветная DS-D100P</t>
  </si>
  <si>
    <t>Мини ПК CHUWI AuBox X [1747667]</t>
  </si>
  <si>
    <t>31.5" Монитор Acer SB322QAbi черный</t>
  </si>
  <si>
    <t>Клавиатура+мышь проводная Defender LINE C-511</t>
  </si>
  <si>
    <t>Крепление для мониторов DEXP MB32-W01</t>
  </si>
  <si>
    <t>Преобразователь интерфейсов USB-RS485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</si>
</sst>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rlito"/>
    </font>
    <font>
      <b/>
      <i/>
      <sz val="12"/>
      <color rgb="FF202020"/>
      <name val="ISOCPEUR"/>
      <family val="2"/>
      <charset val="204"/>
    </font>
    <font>
      <i/>
      <sz val="12"/>
      <color theme="1"/>
      <name val="ISOCPEUR"/>
      <family val="2"/>
      <charset val="204"/>
    </font>
    <font>
      <i/>
      <sz val="12"/>
      <color rgb="FF202020"/>
      <name val="ISOCPEUR"/>
      <family val="2"/>
      <charset val="204"/>
    </font>
    <font>
      <i/>
      <sz val="10"/>
      <name val="ISOCPEUR"/>
      <family val="2"/>
      <charset val="204"/>
    </font>
    <font>
      <i/>
      <sz val="10"/>
      <color theme="1"/>
      <name val="ISOCPEUR"/>
      <family val="2"/>
      <charset val="204"/>
    </font>
    <font>
      <i/>
      <sz val="11"/>
      <color theme="1"/>
      <name val="ISOCPEUR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top" wrapText="1"/>
    </xf>
    <xf numFmtId="0" fontId="3" fillId="2" borderId="1" xfId="1" applyFont="1" applyFill="1" applyBorder="1" applyAlignment="1">
      <alignment wrapText="1"/>
    </xf>
    <xf numFmtId="0" fontId="3" fillId="2" borderId="0" xfId="1" applyFont="1" applyFill="1" applyBorder="1" applyAlignment="1">
      <alignment wrapText="1"/>
    </xf>
    <xf numFmtId="0" fontId="3" fillId="2" borderId="0" xfId="0" applyFont="1" applyFill="1" applyBorder="1"/>
    <xf numFmtId="0" fontId="3" fillId="2" borderId="1" xfId="0" applyFont="1" applyFill="1" applyBorder="1"/>
    <xf numFmtId="2" fontId="3" fillId="2" borderId="0" xfId="1" applyNumberFormat="1" applyFont="1" applyFill="1" applyBorder="1"/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wrapText="1"/>
    </xf>
    <xf numFmtId="0" fontId="3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3" fillId="4" borderId="1" xfId="1" applyFont="1" applyFill="1" applyBorder="1" applyAlignment="1">
      <alignment wrapText="1"/>
    </xf>
    <xf numFmtId="0" fontId="3" fillId="4" borderId="1" xfId="1" applyFont="1" applyFill="1" applyBorder="1" applyAlignment="1">
      <alignment horizontal="center" wrapText="1"/>
    </xf>
    <xf numFmtId="0" fontId="3" fillId="4" borderId="0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3" borderId="0" xfId="0" applyFill="1"/>
    <xf numFmtId="0" fontId="4" fillId="5" borderId="1" xfId="0" applyFont="1" applyFill="1" applyBorder="1" applyAlignment="1">
      <alignment horizontal="right" vertical="center" wrapText="1"/>
    </xf>
    <xf numFmtId="0" fontId="3" fillId="5" borderId="1" xfId="1" applyFont="1" applyFill="1" applyBorder="1" applyAlignment="1">
      <alignment wrapText="1"/>
    </xf>
    <xf numFmtId="0" fontId="3" fillId="5" borderId="1" xfId="0" applyFont="1" applyFill="1" applyBorder="1" applyAlignment="1">
      <alignment horizontal="center"/>
    </xf>
    <xf numFmtId="2" fontId="3" fillId="5" borderId="0" xfId="1" applyNumberFormat="1" applyFont="1" applyFill="1" applyBorder="1"/>
    <xf numFmtId="0" fontId="3" fillId="5" borderId="0" xfId="0" applyFont="1" applyFill="1" applyBorder="1"/>
    <xf numFmtId="0" fontId="4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0" xfId="0" applyFont="1" applyFill="1" applyBorder="1"/>
    <xf numFmtId="0" fontId="3" fillId="6" borderId="1" xfId="1" applyFont="1" applyFill="1" applyBorder="1" applyAlignment="1">
      <alignment wrapText="1"/>
    </xf>
    <xf numFmtId="0" fontId="3" fillId="6" borderId="1" xfId="0" applyFont="1" applyFill="1" applyBorder="1" applyAlignment="1">
      <alignment horizontal="center"/>
    </xf>
    <xf numFmtId="0" fontId="3" fillId="5" borderId="4" xfId="1" applyFont="1" applyFill="1" applyBorder="1" applyAlignment="1">
      <alignment wrapText="1"/>
    </xf>
    <xf numFmtId="0" fontId="4" fillId="5" borderId="4" xfId="0" applyFont="1" applyFill="1" applyBorder="1" applyAlignment="1">
      <alignment horizontal="right" vertical="center" wrapText="1"/>
    </xf>
    <xf numFmtId="0" fontId="0" fillId="5" borderId="0" xfId="0" applyFill="1"/>
    <xf numFmtId="0" fontId="3" fillId="2" borderId="1" xfId="1" applyFont="1" applyFill="1" applyBorder="1" applyAlignment="1">
      <alignment horizontal="center" wrapText="1"/>
    </xf>
    <xf numFmtId="0" fontId="0" fillId="2" borderId="0" xfId="0" applyFill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3" fillId="2" borderId="1" xfId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3" fillId="7" borderId="1" xfId="1" applyFont="1" applyFill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0" xfId="0" applyFont="1" applyFill="1" applyBorder="1"/>
    <xf numFmtId="0" fontId="4" fillId="7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/>
    <xf numFmtId="0" fontId="4" fillId="7" borderId="0" xfId="0" applyFont="1" applyFill="1" applyBorder="1" applyAlignment="1">
      <alignment horizontal="right" vertical="center" wrapText="1"/>
    </xf>
    <xf numFmtId="0" fontId="7" fillId="2" borderId="0" xfId="0" applyFont="1" applyFill="1" applyBorder="1"/>
    <xf numFmtId="0" fontId="7" fillId="2" borderId="0" xfId="0" applyFont="1" applyFill="1"/>
    <xf numFmtId="0" fontId="7" fillId="2" borderId="1" xfId="0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0" fillId="0" borderId="0" xfId="1" applyFont="1" applyAlignment="1">
      <alignment wrapText="1"/>
    </xf>
    <xf numFmtId="2" fontId="0" fillId="0" borderId="0" xfId="1" applyNumberFormat="1" applyFont="1"/>
    <xf numFmtId="0" fontId="4" fillId="2" borderId="0" xfId="0" applyFont="1" applyFill="1" applyBorder="1" applyAlignment="1">
      <alignment horizontal="right" vertical="center" wrapText="1"/>
    </xf>
    <xf numFmtId="0" fontId="8" fillId="0" borderId="1" xfId="1" applyFont="1" applyBorder="1" applyAlignment="1">
      <alignment wrapText="1"/>
    </xf>
    <xf numFmtId="0" fontId="8" fillId="0" borderId="1" xfId="0" applyFont="1" applyBorder="1"/>
    <xf numFmtId="2" fontId="8" fillId="0" borderId="1" xfId="1" applyNumberFormat="1" applyFont="1" applyBorder="1"/>
    <xf numFmtId="0" fontId="7" fillId="0" borderId="1" xfId="1" applyFont="1" applyBorder="1" applyAlignment="1">
      <alignment wrapText="1"/>
    </xf>
    <xf numFmtId="2" fontId="7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1" applyFont="1" applyAlignment="1">
      <alignment wrapText="1"/>
    </xf>
    <xf numFmtId="0" fontId="7" fillId="0" borderId="0" xfId="0" applyFont="1"/>
    <xf numFmtId="2" fontId="7" fillId="0" borderId="0" xfId="1" applyNumberFormat="1" applyFont="1"/>
  </cellXfs>
  <cellStyles count="2">
    <cellStyle name="Normal" xfId="1" xr:uid="{EE9666D4-1301-4896-B65D-20DB38026413}"/>
    <cellStyle name="Обычный" xfId="0" builtinId="0"/>
  </cellStyles>
  <dxfs count="6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ks\Downloads\&#1057;&#1074;&#1086;&#1076;&#1085;&#1099;&#1081;_&#1088;&#1077;&#1077;&#1089;&#1090;&#1088;_&#1084;&#1072;&#1090;&#1077;&#1088;&#1080;&#1072;&#1083;&#1086;&#1074;_&#1087;&#1086;_33_&#1089;&#1087;&#1077;&#1094;&#1080;&#1092;&#1080;&#1082;&#1072;&#1094;&#1080;&#1103;&#1084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ая сводка"/>
      <sheetName val="По группам"/>
      <sheetName val="По спецификациям"/>
      <sheetName val="Материал по документам"/>
      <sheetName val="Исходные позиции"/>
      <sheetName val="Контроль"/>
    </sheetNames>
    <sheetDataSet>
      <sheetData sheetId="0"/>
      <sheetData sheetId="1"/>
      <sheetData sheetId="2"/>
      <sheetData sheetId="3"/>
      <sheetData sheetId="4">
        <row r="4">
          <cell r="D4" t="str">
            <v>9726729</v>
          </cell>
          <cell r="H4">
            <v>20</v>
          </cell>
        </row>
        <row r="5">
          <cell r="D5" t="str">
            <v>469047</v>
          </cell>
          <cell r="H5">
            <v>10</v>
          </cell>
        </row>
        <row r="6">
          <cell r="D6" t="str">
            <v>4900874</v>
          </cell>
          <cell r="H6">
            <v>3</v>
          </cell>
        </row>
        <row r="7">
          <cell r="D7" t="str">
            <v>5501087</v>
          </cell>
          <cell r="H7">
            <v>1</v>
          </cell>
        </row>
        <row r="8">
          <cell r="D8" t="str">
            <v>9489640</v>
          </cell>
          <cell r="H8">
            <v>3</v>
          </cell>
        </row>
        <row r="9">
          <cell r="D9" t="str">
            <v>2705044</v>
          </cell>
          <cell r="H9">
            <v>1</v>
          </cell>
        </row>
        <row r="10">
          <cell r="D10" t="str">
            <v>9332157</v>
          </cell>
          <cell r="H10">
            <v>610</v>
          </cell>
        </row>
        <row r="11">
          <cell r="D11" t="str">
            <v>86710175</v>
          </cell>
          <cell r="H11">
            <v>10</v>
          </cell>
        </row>
        <row r="12">
          <cell r="D12" t="str">
            <v>3916783</v>
          </cell>
          <cell r="H12">
            <v>16</v>
          </cell>
        </row>
        <row r="13">
          <cell r="D13" t="str">
            <v>9726743</v>
          </cell>
          <cell r="H13">
            <v>96</v>
          </cell>
        </row>
        <row r="14">
          <cell r="D14" t="str">
            <v>9726743</v>
          </cell>
          <cell r="H14">
            <v>30</v>
          </cell>
        </row>
        <row r="15">
          <cell r="D15" t="str">
            <v>8120371</v>
          </cell>
          <cell r="H15">
            <v>5</v>
          </cell>
        </row>
        <row r="16">
          <cell r="D16" t="str">
            <v>1805350</v>
          </cell>
          <cell r="H16">
            <v>300</v>
          </cell>
        </row>
        <row r="17">
          <cell r="D17" t="str">
            <v>469047</v>
          </cell>
          <cell r="H17">
            <v>10</v>
          </cell>
        </row>
        <row r="18">
          <cell r="D18" t="str">
            <v>2145407</v>
          </cell>
          <cell r="H18">
            <v>30</v>
          </cell>
        </row>
        <row r="19">
          <cell r="D19" t="str">
            <v>9533870</v>
          </cell>
          <cell r="H19">
            <v>600</v>
          </cell>
        </row>
        <row r="20">
          <cell r="D20" t="str">
            <v>6203779</v>
          </cell>
          <cell r="H20">
            <v>10</v>
          </cell>
        </row>
        <row r="21">
          <cell r="D21" t="str">
            <v>9726729</v>
          </cell>
          <cell r="H21">
            <v>30</v>
          </cell>
        </row>
        <row r="22">
          <cell r="D22" t="str">
            <v>9332157</v>
          </cell>
          <cell r="H22">
            <v>305</v>
          </cell>
        </row>
        <row r="23">
          <cell r="D23" t="str">
            <v>1805350</v>
          </cell>
          <cell r="H23">
            <v>200</v>
          </cell>
        </row>
        <row r="24">
          <cell r="D24" t="str">
            <v>28136</v>
          </cell>
          <cell r="H24">
            <v>300</v>
          </cell>
        </row>
        <row r="25">
          <cell r="D25" t="str">
            <v>7139066</v>
          </cell>
          <cell r="H25">
            <v>100</v>
          </cell>
        </row>
        <row r="26">
          <cell r="D26" t="str">
            <v>2622481</v>
          </cell>
          <cell r="H26">
            <v>200</v>
          </cell>
        </row>
        <row r="27">
          <cell r="D27" t="str">
            <v>636864</v>
          </cell>
          <cell r="H27">
            <v>10</v>
          </cell>
        </row>
        <row r="28">
          <cell r="D28" t="str">
            <v>9489640</v>
          </cell>
          <cell r="H28">
            <v>1</v>
          </cell>
        </row>
        <row r="29">
          <cell r="D29" t="str">
            <v>4900874</v>
          </cell>
          <cell r="H29">
            <v>1</v>
          </cell>
        </row>
        <row r="30">
          <cell r="D30" t="str">
            <v>4529642</v>
          </cell>
          <cell r="H30">
            <v>1</v>
          </cell>
        </row>
        <row r="31">
          <cell r="D31" t="str">
            <v>8303039</v>
          </cell>
          <cell r="H31">
            <v>4</v>
          </cell>
        </row>
        <row r="32">
          <cell r="D32" t="str">
            <v>6217661</v>
          </cell>
          <cell r="H32">
            <v>1</v>
          </cell>
        </row>
        <row r="33">
          <cell r="D33" t="str">
            <v>7840719</v>
          </cell>
          <cell r="H33">
            <v>2</v>
          </cell>
        </row>
        <row r="34">
          <cell r="D34" t="str">
            <v>3680998</v>
          </cell>
          <cell r="H34">
            <v>1</v>
          </cell>
        </row>
        <row r="35">
          <cell r="D35" t="str">
            <v>9350780</v>
          </cell>
          <cell r="H35">
            <v>4</v>
          </cell>
        </row>
        <row r="36">
          <cell r="D36" t="str">
            <v>4294316</v>
          </cell>
          <cell r="H36">
            <v>25</v>
          </cell>
        </row>
        <row r="37">
          <cell r="D37" t="str">
            <v>338605</v>
          </cell>
          <cell r="H37">
            <v>10</v>
          </cell>
        </row>
        <row r="38">
          <cell r="D38" t="str">
            <v>3729175</v>
          </cell>
          <cell r="H38">
            <v>10</v>
          </cell>
        </row>
        <row r="39">
          <cell r="D39" t="str">
            <v>181099</v>
          </cell>
          <cell r="H39">
            <v>4</v>
          </cell>
        </row>
        <row r="40">
          <cell r="D40" t="str">
            <v>4900874</v>
          </cell>
          <cell r="H40">
            <v>2</v>
          </cell>
        </row>
        <row r="41">
          <cell r="D41" t="str">
            <v>6793437</v>
          </cell>
          <cell r="H41">
            <v>1</v>
          </cell>
        </row>
        <row r="42">
          <cell r="D42" t="str">
            <v>1805350</v>
          </cell>
          <cell r="H42">
            <v>100</v>
          </cell>
        </row>
        <row r="43">
          <cell r="D43" t="str">
            <v>469047</v>
          </cell>
          <cell r="H43">
            <v>10</v>
          </cell>
        </row>
        <row r="44">
          <cell r="D44" t="str">
            <v>5684330</v>
          </cell>
          <cell r="H44">
            <v>3</v>
          </cell>
        </row>
        <row r="45">
          <cell r="D45" t="str">
            <v>6793437</v>
          </cell>
          <cell r="H45">
            <v>2</v>
          </cell>
        </row>
        <row r="46">
          <cell r="D46" t="str">
            <v>28136</v>
          </cell>
          <cell r="H46">
            <v>200</v>
          </cell>
        </row>
        <row r="47">
          <cell r="D47" t="str">
            <v>7139066</v>
          </cell>
          <cell r="H47">
            <v>100</v>
          </cell>
        </row>
        <row r="48">
          <cell r="D48" t="str">
            <v>9726729</v>
          </cell>
          <cell r="H48">
            <v>20</v>
          </cell>
        </row>
        <row r="49">
          <cell r="D49" t="str">
            <v>9975323</v>
          </cell>
          <cell r="H49">
            <v>3</v>
          </cell>
        </row>
        <row r="50">
          <cell r="D50" t="str">
            <v>2185533</v>
          </cell>
          <cell r="H50">
            <v>5</v>
          </cell>
        </row>
        <row r="51">
          <cell r="D51" t="str">
            <v>9484271</v>
          </cell>
          <cell r="H51">
            <v>3</v>
          </cell>
        </row>
        <row r="52">
          <cell r="D52" t="str">
            <v>4472961</v>
          </cell>
          <cell r="H52">
            <v>5</v>
          </cell>
        </row>
        <row r="53">
          <cell r="D53" t="str">
            <v>9863569</v>
          </cell>
          <cell r="H53">
            <v>2</v>
          </cell>
        </row>
        <row r="54">
          <cell r="D54" t="str">
            <v>9863566</v>
          </cell>
          <cell r="H54">
            <v>2</v>
          </cell>
        </row>
        <row r="55">
          <cell r="D55" t="str">
            <v>9863568</v>
          </cell>
          <cell r="H55">
            <v>2</v>
          </cell>
        </row>
        <row r="56">
          <cell r="D56" t="str">
            <v>9975323</v>
          </cell>
          <cell r="H56">
            <v>2</v>
          </cell>
        </row>
        <row r="57">
          <cell r="D57" t="str">
            <v>9489640</v>
          </cell>
          <cell r="H57">
            <v>8</v>
          </cell>
        </row>
        <row r="58">
          <cell r="D58" t="str">
            <v>9863565</v>
          </cell>
          <cell r="H58">
            <v>10</v>
          </cell>
        </row>
        <row r="59">
          <cell r="D59" t="str">
            <v>9863569</v>
          </cell>
          <cell r="H59">
            <v>2</v>
          </cell>
        </row>
        <row r="60">
          <cell r="D60" t="str">
            <v>169990516</v>
          </cell>
          <cell r="H60">
            <v>10</v>
          </cell>
        </row>
        <row r="61">
          <cell r="D61" t="str">
            <v>9749581</v>
          </cell>
          <cell r="H61">
            <v>10</v>
          </cell>
        </row>
        <row r="62">
          <cell r="D62" t="str">
            <v>987321</v>
          </cell>
          <cell r="H62">
            <v>10</v>
          </cell>
        </row>
        <row r="63">
          <cell r="D63" t="str">
            <v>9768869</v>
          </cell>
          <cell r="H63">
            <v>10</v>
          </cell>
        </row>
        <row r="64">
          <cell r="D64" t="str">
            <v>169990516</v>
          </cell>
          <cell r="H64">
            <v>10</v>
          </cell>
        </row>
        <row r="65">
          <cell r="D65" t="str">
            <v>9759381</v>
          </cell>
          <cell r="H65">
            <v>5</v>
          </cell>
        </row>
        <row r="66">
          <cell r="D66" t="str">
            <v>9863565</v>
          </cell>
          <cell r="H66">
            <v>10</v>
          </cell>
        </row>
        <row r="67">
          <cell r="D67" t="str">
            <v>1566787</v>
          </cell>
          <cell r="H67">
            <v>30</v>
          </cell>
        </row>
        <row r="68">
          <cell r="D68" t="str">
            <v>925515</v>
          </cell>
          <cell r="H68">
            <v>20</v>
          </cell>
        </row>
        <row r="69">
          <cell r="D69" t="str">
            <v>1566787</v>
          </cell>
          <cell r="H69">
            <v>16</v>
          </cell>
        </row>
        <row r="70">
          <cell r="D70" t="str">
            <v>9776852</v>
          </cell>
          <cell r="H70">
            <v>3</v>
          </cell>
        </row>
        <row r="71">
          <cell r="D71" t="str">
            <v>911783</v>
          </cell>
          <cell r="H71">
            <v>12</v>
          </cell>
        </row>
        <row r="72">
          <cell r="D72" t="str">
            <v>3123364</v>
          </cell>
          <cell r="H72">
            <v>1</v>
          </cell>
        </row>
        <row r="73">
          <cell r="D73" t="str">
            <v>87860020</v>
          </cell>
          <cell r="H73">
            <v>100</v>
          </cell>
        </row>
        <row r="74">
          <cell r="D74" t="str">
            <v>28136</v>
          </cell>
          <cell r="H74">
            <v>200</v>
          </cell>
        </row>
        <row r="75">
          <cell r="D75" t="str">
            <v>1326911</v>
          </cell>
          <cell r="H75">
            <v>40</v>
          </cell>
        </row>
        <row r="76">
          <cell r="D76" t="str">
            <v>8474226</v>
          </cell>
          <cell r="H76">
            <v>10</v>
          </cell>
        </row>
        <row r="77">
          <cell r="D77" t="str">
            <v>9820855</v>
          </cell>
          <cell r="H77">
            <v>3</v>
          </cell>
        </row>
        <row r="78">
          <cell r="D78" t="str">
            <v>9784745</v>
          </cell>
          <cell r="H78">
            <v>4</v>
          </cell>
        </row>
        <row r="79">
          <cell r="D79" t="str">
            <v>9784744</v>
          </cell>
          <cell r="H79">
            <v>6</v>
          </cell>
        </row>
        <row r="80">
          <cell r="D80" t="str">
            <v>781322</v>
          </cell>
          <cell r="H80">
            <v>3</v>
          </cell>
        </row>
        <row r="81">
          <cell r="D81" t="str">
            <v>6522135</v>
          </cell>
          <cell r="H81">
            <v>1</v>
          </cell>
        </row>
        <row r="82">
          <cell r="D82" t="str">
            <v>8837177</v>
          </cell>
          <cell r="H82">
            <v>20</v>
          </cell>
        </row>
        <row r="83">
          <cell r="D83" t="str">
            <v>1901900</v>
          </cell>
          <cell r="H83">
            <v>8</v>
          </cell>
        </row>
        <row r="84">
          <cell r="D84" t="str">
            <v>9863569</v>
          </cell>
          <cell r="H84">
            <v>1</v>
          </cell>
        </row>
        <row r="85">
          <cell r="D85" t="str">
            <v>4362592</v>
          </cell>
          <cell r="H85">
            <v>3</v>
          </cell>
        </row>
        <row r="86">
          <cell r="D86" t="str">
            <v>6571746</v>
          </cell>
          <cell r="H86">
            <v>3</v>
          </cell>
        </row>
        <row r="87">
          <cell r="D87" t="str">
            <v>9745913</v>
          </cell>
          <cell r="H87">
            <v>120</v>
          </cell>
        </row>
        <row r="88">
          <cell r="D88" t="str">
            <v>9221701</v>
          </cell>
          <cell r="H88">
            <v>400</v>
          </cell>
        </row>
        <row r="89">
          <cell r="D89" t="str">
            <v>3182143</v>
          </cell>
          <cell r="H89">
            <v>300</v>
          </cell>
        </row>
        <row r="90">
          <cell r="D90" t="str">
            <v>135089</v>
          </cell>
          <cell r="H90">
            <v>300</v>
          </cell>
        </row>
        <row r="91">
          <cell r="D91" t="str">
            <v>302162</v>
          </cell>
          <cell r="H91">
            <v>600</v>
          </cell>
        </row>
        <row r="92">
          <cell r="D92" t="str">
            <v>5264464</v>
          </cell>
          <cell r="H92">
            <v>2</v>
          </cell>
        </row>
        <row r="93">
          <cell r="D93" t="str">
            <v>28136</v>
          </cell>
          <cell r="H93">
            <v>1000</v>
          </cell>
        </row>
        <row r="94">
          <cell r="D94" t="str">
            <v>2405744</v>
          </cell>
          <cell r="H94">
            <v>1000</v>
          </cell>
        </row>
        <row r="95">
          <cell r="D95" t="str">
            <v>1935617</v>
          </cell>
          <cell r="H95">
            <v>1</v>
          </cell>
        </row>
        <row r="96">
          <cell r="D96" t="str">
            <v>3974615</v>
          </cell>
          <cell r="H96">
            <v>10</v>
          </cell>
        </row>
        <row r="97">
          <cell r="D97" t="str">
            <v>9406015</v>
          </cell>
          <cell r="H97">
            <v>20</v>
          </cell>
        </row>
        <row r="98">
          <cell r="D98" t="str">
            <v>9745462</v>
          </cell>
          <cell r="H98">
            <v>45</v>
          </cell>
        </row>
        <row r="99">
          <cell r="D99" t="str">
            <v>3369427</v>
          </cell>
          <cell r="H99">
            <v>1000</v>
          </cell>
        </row>
        <row r="100">
          <cell r="D100" t="str">
            <v>369060</v>
          </cell>
          <cell r="H100">
            <v>105</v>
          </cell>
        </row>
        <row r="101">
          <cell r="D101" t="str">
            <v>254947</v>
          </cell>
          <cell r="H101">
            <v>1</v>
          </cell>
        </row>
        <row r="102">
          <cell r="D102" t="str">
            <v>8545992</v>
          </cell>
          <cell r="H102">
            <v>85</v>
          </cell>
        </row>
        <row r="103">
          <cell r="D103" t="str">
            <v>9861250</v>
          </cell>
          <cell r="H103">
            <v>85</v>
          </cell>
        </row>
        <row r="104">
          <cell r="D104" t="str">
            <v>2622481</v>
          </cell>
          <cell r="H104">
            <v>600</v>
          </cell>
        </row>
        <row r="105">
          <cell r="D105" t="str">
            <v>9180094</v>
          </cell>
          <cell r="H105">
            <v>400</v>
          </cell>
        </row>
        <row r="106">
          <cell r="D106" t="str">
            <v>7611092</v>
          </cell>
          <cell r="H106">
            <v>1000</v>
          </cell>
        </row>
        <row r="107">
          <cell r="D107" t="str">
            <v>9332157</v>
          </cell>
          <cell r="H107">
            <v>1220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5"/>
  <sheetViews>
    <sheetView showGridLines="0" zoomScale="130" zoomScaleNormal="130" workbookViewId="0">
      <pane xSplit="1" ySplit="1" topLeftCell="B2" activePane="bottomRight" state="frozen"/>
      <selection pane="topRight"/>
      <selection pane="bottomLeft"/>
      <selection pane="bottomRight" sqref="A1:E1"/>
    </sheetView>
  </sheetViews>
  <sheetFormatPr defaultRowHeight="15"/>
  <cols>
    <col min="1" max="1" width="6" style="1" customWidth="1"/>
    <col min="2" max="2" width="86.42578125" style="1" customWidth="1"/>
    <col min="3" max="3" width="27" style="1" customWidth="1"/>
    <col min="4" max="4" width="9" style="1" customWidth="1"/>
    <col min="5" max="5" width="12" style="1" customWidth="1"/>
    <col min="6" max="7" width="9.140625" style="1"/>
  </cols>
  <sheetData>
    <row r="1" spans="1:5" s="7" customFormat="1" ht="45" customHeight="1">
      <c r="A1" s="2" t="s">
        <v>0</v>
      </c>
      <c r="B1" s="2" t="s">
        <v>83</v>
      </c>
      <c r="C1" s="2" t="s">
        <v>47</v>
      </c>
      <c r="D1" s="2" t="s">
        <v>1</v>
      </c>
      <c r="E1" s="2" t="s">
        <v>48</v>
      </c>
    </row>
    <row r="2" spans="1:5" s="15" customFormat="1" ht="33">
      <c r="A2" s="13">
        <v>1</v>
      </c>
      <c r="B2" s="17" t="s">
        <v>2</v>
      </c>
      <c r="C2" s="18"/>
      <c r="D2" s="19" t="s">
        <v>3</v>
      </c>
      <c r="E2" s="13">
        <v>3</v>
      </c>
    </row>
    <row r="3" spans="1:5" s="15" customFormat="1" ht="49.5">
      <c r="A3" s="13">
        <v>2</v>
      </c>
      <c r="B3" s="17" t="s">
        <v>4</v>
      </c>
      <c r="C3" s="18"/>
      <c r="D3" s="19" t="s">
        <v>3</v>
      </c>
      <c r="E3" s="13">
        <v>3</v>
      </c>
    </row>
    <row r="4" spans="1:5" s="7" customFormat="1" ht="16.5">
      <c r="A4" s="10">
        <v>3</v>
      </c>
      <c r="B4" s="3" t="s">
        <v>5</v>
      </c>
      <c r="C4" s="4"/>
      <c r="D4" s="11" t="s">
        <v>3</v>
      </c>
      <c r="E4" s="10">
        <v>50</v>
      </c>
    </row>
    <row r="5" spans="1:5" s="7" customFormat="1" ht="16.5">
      <c r="A5" s="10">
        <v>4</v>
      </c>
      <c r="B5" s="3" t="s">
        <v>6</v>
      </c>
      <c r="C5" s="3" t="s">
        <v>7</v>
      </c>
      <c r="D5" s="11" t="s">
        <v>3</v>
      </c>
      <c r="E5" s="10">
        <v>500</v>
      </c>
    </row>
    <row r="6" spans="1:5" s="7" customFormat="1" ht="33">
      <c r="A6" s="10">
        <v>5</v>
      </c>
      <c r="B6" s="3" t="s">
        <v>8</v>
      </c>
      <c r="C6" s="3" t="s">
        <v>9</v>
      </c>
      <c r="D6" s="11" t="s">
        <v>10</v>
      </c>
      <c r="E6" s="10">
        <v>250</v>
      </c>
    </row>
    <row r="7" spans="1:5" s="15" customFormat="1" ht="16.5">
      <c r="A7" s="13">
        <v>6</v>
      </c>
      <c r="B7" s="14" t="s">
        <v>79</v>
      </c>
      <c r="C7" s="14" t="s">
        <v>80</v>
      </c>
      <c r="D7" s="16" t="s">
        <v>10</v>
      </c>
      <c r="E7" s="13">
        <v>10</v>
      </c>
    </row>
    <row r="8" spans="1:5" s="15" customFormat="1" ht="16.5">
      <c r="A8" s="13">
        <v>7</v>
      </c>
      <c r="B8" s="17" t="s">
        <v>11</v>
      </c>
      <c r="C8" s="18"/>
      <c r="D8" s="19" t="s">
        <v>3</v>
      </c>
      <c r="E8" s="13">
        <v>4</v>
      </c>
    </row>
    <row r="9" spans="1:5" s="15" customFormat="1" ht="16.5">
      <c r="A9" s="13">
        <v>8</v>
      </c>
      <c r="B9" s="17" t="s">
        <v>12</v>
      </c>
      <c r="C9" s="18"/>
      <c r="D9" s="19" t="s">
        <v>3</v>
      </c>
      <c r="E9" s="13">
        <v>3</v>
      </c>
    </row>
    <row r="10" spans="1:5" s="15" customFormat="1" ht="16.5">
      <c r="A10" s="13">
        <v>9</v>
      </c>
      <c r="B10" s="17" t="s">
        <v>13</v>
      </c>
      <c r="C10" s="18"/>
      <c r="D10" s="19" t="s">
        <v>3</v>
      </c>
      <c r="E10" s="13">
        <v>4</v>
      </c>
    </row>
    <row r="11" spans="1:5" s="15" customFormat="1" ht="132">
      <c r="A11" s="13">
        <v>10</v>
      </c>
      <c r="B11" s="17" t="s">
        <v>14</v>
      </c>
      <c r="C11" s="18"/>
      <c r="D11" s="19" t="s">
        <v>3</v>
      </c>
      <c r="E11" s="13">
        <v>2</v>
      </c>
    </row>
    <row r="12" spans="1:5" s="15" customFormat="1" ht="16.5">
      <c r="A12" s="13">
        <v>11</v>
      </c>
      <c r="B12" s="17" t="s">
        <v>15</v>
      </c>
      <c r="C12" s="18"/>
      <c r="D12" s="19" t="s">
        <v>3</v>
      </c>
      <c r="E12" s="13">
        <v>4</v>
      </c>
    </row>
    <row r="13" spans="1:5" s="15" customFormat="1" ht="16.5">
      <c r="A13" s="13">
        <v>12</v>
      </c>
      <c r="B13" s="17" t="s">
        <v>16</v>
      </c>
      <c r="C13" s="18"/>
      <c r="D13" s="19" t="s">
        <v>3</v>
      </c>
      <c r="E13" s="13">
        <v>3</v>
      </c>
    </row>
    <row r="14" spans="1:5" s="15" customFormat="1" ht="33">
      <c r="A14" s="13">
        <v>13</v>
      </c>
      <c r="B14" s="17" t="s">
        <v>17</v>
      </c>
      <c r="C14" s="18"/>
      <c r="D14" s="19" t="s">
        <v>3</v>
      </c>
      <c r="E14" s="13">
        <v>2</v>
      </c>
    </row>
    <row r="15" spans="1:5" s="15" customFormat="1" ht="33">
      <c r="A15" s="13">
        <v>14</v>
      </c>
      <c r="B15" s="17" t="s">
        <v>18</v>
      </c>
      <c r="C15" s="18"/>
      <c r="D15" s="19" t="s">
        <v>3</v>
      </c>
      <c r="E15" s="13">
        <v>4</v>
      </c>
    </row>
    <row r="16" spans="1:5" s="44" customFormat="1" ht="33">
      <c r="A16" s="40">
        <v>15</v>
      </c>
      <c r="B16" s="41" t="s">
        <v>19</v>
      </c>
      <c r="C16" s="42"/>
      <c r="D16" s="43" t="s">
        <v>3</v>
      </c>
      <c r="E16" s="40">
        <v>1</v>
      </c>
    </row>
    <row r="17" spans="1:5" s="44" customFormat="1" ht="16.5">
      <c r="A17" s="40">
        <v>16</v>
      </c>
      <c r="B17" s="41" t="s">
        <v>20</v>
      </c>
      <c r="C17" s="41" t="s">
        <v>21</v>
      </c>
      <c r="D17" s="43" t="s">
        <v>3</v>
      </c>
      <c r="E17" s="40">
        <v>6</v>
      </c>
    </row>
    <row r="18" spans="1:5" s="44" customFormat="1" ht="16.5">
      <c r="A18" s="40">
        <v>17</v>
      </c>
      <c r="B18" s="41" t="s">
        <v>22</v>
      </c>
      <c r="C18" s="41" t="s">
        <v>23</v>
      </c>
      <c r="D18" s="43" t="s">
        <v>3</v>
      </c>
      <c r="E18" s="40">
        <v>3</v>
      </c>
    </row>
    <row r="19" spans="1:5" s="35" customFormat="1" ht="33">
      <c r="A19" s="31">
        <v>18</v>
      </c>
      <c r="B19" s="36" t="s">
        <v>24</v>
      </c>
      <c r="C19" s="36" t="s">
        <v>25</v>
      </c>
      <c r="D19" s="38" t="s">
        <v>3</v>
      </c>
      <c r="E19" s="31">
        <v>4</v>
      </c>
    </row>
    <row r="20" spans="1:5" s="15" customFormat="1" ht="33">
      <c r="A20" s="13">
        <v>19</v>
      </c>
      <c r="B20" s="17" t="s">
        <v>26</v>
      </c>
      <c r="C20" s="18"/>
      <c r="D20" s="19" t="s">
        <v>3</v>
      </c>
      <c r="E20" s="13">
        <v>4</v>
      </c>
    </row>
    <row r="21" spans="1:5" s="35" customFormat="1" ht="16.5">
      <c r="A21" s="31">
        <v>20</v>
      </c>
      <c r="B21" s="36" t="s">
        <v>27</v>
      </c>
      <c r="C21" s="37"/>
      <c r="D21" s="38" t="s">
        <v>3</v>
      </c>
      <c r="E21" s="31">
        <v>3</v>
      </c>
    </row>
    <row r="22" spans="1:5" s="7" customFormat="1" ht="16.5">
      <c r="A22" s="10">
        <v>21</v>
      </c>
      <c r="B22" s="3" t="s">
        <v>28</v>
      </c>
      <c r="C22" s="4"/>
      <c r="D22" s="11" t="s">
        <v>3</v>
      </c>
      <c r="E22" s="10">
        <v>1</v>
      </c>
    </row>
    <row r="23" spans="1:5" s="15" customFormat="1" ht="16.5">
      <c r="A23" s="13">
        <v>22</v>
      </c>
      <c r="B23" s="17" t="s">
        <v>29</v>
      </c>
      <c r="C23" s="18"/>
      <c r="D23" s="19" t="s">
        <v>3</v>
      </c>
      <c r="E23" s="13">
        <v>4</v>
      </c>
    </row>
    <row r="24" spans="1:5" s="7" customFormat="1" ht="16.5">
      <c r="A24" s="10">
        <v>23</v>
      </c>
      <c r="B24" s="3" t="s">
        <v>30</v>
      </c>
      <c r="C24" s="4"/>
      <c r="D24" s="11" t="s">
        <v>3</v>
      </c>
      <c r="E24" s="10">
        <v>3</v>
      </c>
    </row>
    <row r="25" spans="1:5" s="35" customFormat="1" ht="16.5">
      <c r="A25" s="31">
        <v>24</v>
      </c>
      <c r="B25" s="36" t="s">
        <v>31</v>
      </c>
      <c r="C25" s="37"/>
      <c r="D25" s="38" t="s">
        <v>3</v>
      </c>
      <c r="E25" s="31">
        <v>3</v>
      </c>
    </row>
    <row r="26" spans="1:5" s="44" customFormat="1" ht="49.5">
      <c r="A26" s="40">
        <v>25</v>
      </c>
      <c r="B26" s="41" t="s">
        <v>32</v>
      </c>
      <c r="C26" s="42"/>
      <c r="D26" s="43" t="s">
        <v>3</v>
      </c>
      <c r="E26" s="40">
        <v>1</v>
      </c>
    </row>
    <row r="27" spans="1:5" s="15" customFormat="1" ht="16.5">
      <c r="A27" s="13">
        <v>26</v>
      </c>
      <c r="B27" s="17" t="s">
        <v>33</v>
      </c>
      <c r="C27" s="18"/>
      <c r="D27" s="19" t="s">
        <v>3</v>
      </c>
      <c r="E27" s="13">
        <v>4</v>
      </c>
    </row>
    <row r="28" spans="1:5" s="35" customFormat="1" ht="16.5">
      <c r="A28" s="31">
        <v>27</v>
      </c>
      <c r="B28" s="36" t="s">
        <v>36</v>
      </c>
      <c r="C28" s="37"/>
      <c r="D28" s="38" t="s">
        <v>3</v>
      </c>
      <c r="E28" s="31">
        <v>1</v>
      </c>
    </row>
    <row r="29" spans="1:5" s="35" customFormat="1" ht="16.5">
      <c r="A29" s="31">
        <v>28</v>
      </c>
      <c r="B29" s="36" t="s">
        <v>37</v>
      </c>
      <c r="C29" s="37"/>
      <c r="D29" s="38" t="s">
        <v>3</v>
      </c>
      <c r="E29" s="31">
        <v>1</v>
      </c>
    </row>
    <row r="30" spans="1:5" s="35" customFormat="1" ht="16.5">
      <c r="A30" s="31">
        <v>29</v>
      </c>
      <c r="B30" s="36" t="s">
        <v>38</v>
      </c>
      <c r="C30" s="37"/>
      <c r="D30" s="38" t="s">
        <v>3</v>
      </c>
      <c r="E30" s="31">
        <v>2</v>
      </c>
    </row>
    <row r="31" spans="1:5" s="35" customFormat="1" ht="49.5">
      <c r="A31" s="31">
        <v>30</v>
      </c>
      <c r="B31" s="36" t="s">
        <v>43</v>
      </c>
      <c r="C31" s="37"/>
      <c r="D31" s="38" t="s">
        <v>3</v>
      </c>
      <c r="E31" s="31">
        <v>2</v>
      </c>
    </row>
    <row r="32" spans="1:5" s="44" customFormat="1" ht="16.5">
      <c r="A32" s="40">
        <v>31</v>
      </c>
      <c r="B32" s="41" t="s">
        <v>44</v>
      </c>
      <c r="C32" s="41" t="s">
        <v>45</v>
      </c>
      <c r="D32" s="43" t="s">
        <v>3</v>
      </c>
      <c r="E32" s="40">
        <v>1</v>
      </c>
    </row>
    <row r="33" spans="1:9" s="35" customFormat="1" ht="16.5">
      <c r="A33" s="31">
        <v>32</v>
      </c>
      <c r="B33" s="36" t="s">
        <v>46</v>
      </c>
      <c r="C33" s="37"/>
      <c r="D33" s="38" t="s">
        <v>3</v>
      </c>
      <c r="E33" s="31">
        <v>1</v>
      </c>
    </row>
    <row r="34" spans="1:9" s="35" customFormat="1" ht="16.5">
      <c r="A34" s="31">
        <v>33</v>
      </c>
      <c r="B34" s="32" t="s">
        <v>50</v>
      </c>
      <c r="C34" s="32" t="s">
        <v>51</v>
      </c>
      <c r="D34" s="33" t="s">
        <v>3</v>
      </c>
      <c r="E34" s="31">
        <v>3</v>
      </c>
      <c r="G34" s="39"/>
      <c r="H34" s="39"/>
      <c r="I34" s="39"/>
    </row>
    <row r="35" spans="1:9" s="23" customFormat="1" ht="16.5">
      <c r="A35" s="20">
        <v>34</v>
      </c>
      <c r="B35" s="21" t="s">
        <v>52</v>
      </c>
      <c r="C35" s="21" t="s">
        <v>53</v>
      </c>
      <c r="D35" s="22" t="s">
        <v>10</v>
      </c>
      <c r="E35" s="20">
        <v>200</v>
      </c>
    </row>
    <row r="36" spans="1:9" s="23" customFormat="1" ht="16.5">
      <c r="A36" s="20">
        <v>35</v>
      </c>
      <c r="B36" s="21" t="s">
        <v>54</v>
      </c>
      <c r="C36" s="21" t="s">
        <v>55</v>
      </c>
      <c r="D36" s="24" t="s">
        <v>10</v>
      </c>
      <c r="E36" s="20">
        <v>40</v>
      </c>
    </row>
    <row r="37" spans="1:9" s="23" customFormat="1" ht="16.5">
      <c r="A37" s="20">
        <v>36</v>
      </c>
      <c r="B37" s="21" t="s">
        <v>56</v>
      </c>
      <c r="C37" s="21" t="s">
        <v>55</v>
      </c>
      <c r="D37" s="24" t="s">
        <v>10</v>
      </c>
      <c r="E37" s="20">
        <v>40</v>
      </c>
    </row>
    <row r="38" spans="1:9" s="23" customFormat="1" ht="16.5">
      <c r="A38" s="20">
        <v>37</v>
      </c>
      <c r="B38" s="21" t="s">
        <v>57</v>
      </c>
      <c r="C38" s="21" t="s">
        <v>58</v>
      </c>
      <c r="D38" s="24" t="s">
        <v>10</v>
      </c>
      <c r="E38" s="20">
        <v>50</v>
      </c>
    </row>
    <row r="39" spans="1:9" s="23" customFormat="1" ht="16.5">
      <c r="A39" s="20">
        <v>38</v>
      </c>
      <c r="B39" s="21" t="s">
        <v>59</v>
      </c>
      <c r="C39" s="21" t="s">
        <v>60</v>
      </c>
      <c r="D39" s="24" t="s">
        <v>10</v>
      </c>
      <c r="E39" s="20">
        <v>450</v>
      </c>
    </row>
    <row r="40" spans="1:9" s="23" customFormat="1" ht="16.5">
      <c r="A40" s="20">
        <v>39</v>
      </c>
      <c r="B40" s="21" t="s">
        <v>61</v>
      </c>
      <c r="C40" s="21" t="s">
        <v>62</v>
      </c>
      <c r="D40" s="24" t="s">
        <v>10</v>
      </c>
      <c r="E40" s="20">
        <v>45</v>
      </c>
    </row>
    <row r="41" spans="1:9" s="59" customFormat="1" ht="16.5">
      <c r="A41" s="56">
        <v>40</v>
      </c>
      <c r="B41" s="57" t="s">
        <v>64</v>
      </c>
      <c r="C41" s="57" t="s">
        <v>63</v>
      </c>
      <c r="D41" s="58" t="s">
        <v>10</v>
      </c>
      <c r="E41" s="56">
        <v>10</v>
      </c>
    </row>
    <row r="42" spans="1:9" s="35" customFormat="1" ht="16.5">
      <c r="A42" s="31">
        <v>41</v>
      </c>
      <c r="B42" s="32" t="s">
        <v>65</v>
      </c>
      <c r="C42" s="32" t="s">
        <v>66</v>
      </c>
      <c r="D42" s="33" t="s">
        <v>10</v>
      </c>
      <c r="E42" s="31">
        <v>20</v>
      </c>
      <c r="F42" s="34"/>
    </row>
    <row r="43" spans="1:9" s="44" customFormat="1" ht="16.5">
      <c r="A43" s="40">
        <v>42</v>
      </c>
      <c r="B43" s="45" t="s">
        <v>67</v>
      </c>
      <c r="C43" s="45" t="s">
        <v>62</v>
      </c>
      <c r="D43" s="46" t="s">
        <v>3</v>
      </c>
      <c r="E43" s="40">
        <v>2</v>
      </c>
    </row>
    <row r="44" spans="1:9" s="44" customFormat="1" ht="16.5">
      <c r="A44" s="40">
        <v>43</v>
      </c>
      <c r="B44" s="45" t="s">
        <v>68</v>
      </c>
      <c r="C44" s="45" t="s">
        <v>69</v>
      </c>
      <c r="D44" s="46" t="s">
        <v>3</v>
      </c>
      <c r="E44" s="40">
        <v>1</v>
      </c>
    </row>
    <row r="45" spans="1:9" s="59" customFormat="1" ht="16.5">
      <c r="A45" s="56">
        <v>44</v>
      </c>
      <c r="B45" s="57" t="s">
        <v>70</v>
      </c>
      <c r="C45" s="57" t="s">
        <v>62</v>
      </c>
      <c r="D45" s="58" t="s">
        <v>3</v>
      </c>
      <c r="E45" s="56">
        <v>1</v>
      </c>
    </row>
    <row r="46" spans="1:9" s="59" customFormat="1" ht="16.5">
      <c r="A46" s="56">
        <v>45</v>
      </c>
      <c r="B46" s="57" t="s">
        <v>71</v>
      </c>
      <c r="C46" s="57" t="s">
        <v>63</v>
      </c>
      <c r="D46" s="58" t="s">
        <v>3</v>
      </c>
      <c r="E46" s="56">
        <v>7</v>
      </c>
    </row>
    <row r="47" spans="1:9" s="59" customFormat="1" ht="16.5">
      <c r="A47" s="56">
        <v>46</v>
      </c>
      <c r="B47" s="57" t="s">
        <v>72</v>
      </c>
      <c r="C47" s="57" t="s">
        <v>62</v>
      </c>
      <c r="D47" s="58" t="s">
        <v>3</v>
      </c>
      <c r="E47" s="56">
        <v>1</v>
      </c>
    </row>
    <row r="48" spans="1:9" s="59" customFormat="1" ht="16.5">
      <c r="A48" s="56">
        <v>47</v>
      </c>
      <c r="B48" s="57" t="s">
        <v>73</v>
      </c>
      <c r="C48" s="57" t="s">
        <v>63</v>
      </c>
      <c r="D48" s="58" t="s">
        <v>3</v>
      </c>
      <c r="E48" s="56">
        <v>3</v>
      </c>
    </row>
    <row r="49" spans="1:7" s="59" customFormat="1" ht="16.5">
      <c r="A49" s="56">
        <v>48</v>
      </c>
      <c r="B49" s="57" t="s">
        <v>74</v>
      </c>
      <c r="C49" s="57" t="s">
        <v>63</v>
      </c>
      <c r="D49" s="58" t="s">
        <v>3</v>
      </c>
      <c r="E49" s="56">
        <v>2</v>
      </c>
    </row>
    <row r="50" spans="1:7" s="59" customFormat="1" ht="16.5">
      <c r="A50" s="56">
        <v>49</v>
      </c>
      <c r="B50" s="57" t="s">
        <v>75</v>
      </c>
      <c r="C50" s="57" t="s">
        <v>63</v>
      </c>
      <c r="D50" s="58" t="s">
        <v>3</v>
      </c>
      <c r="E50" s="56">
        <v>1</v>
      </c>
    </row>
    <row r="51" spans="1:7" s="59" customFormat="1" ht="15.75" customHeight="1">
      <c r="A51" s="56">
        <v>50</v>
      </c>
      <c r="B51" s="57" t="s">
        <v>76</v>
      </c>
      <c r="C51" s="57" t="s">
        <v>63</v>
      </c>
      <c r="D51" s="58" t="s">
        <v>3</v>
      </c>
      <c r="E51" s="56">
        <v>4</v>
      </c>
    </row>
    <row r="52" spans="1:7" s="59" customFormat="1" ht="16.5">
      <c r="A52" s="56">
        <v>51</v>
      </c>
      <c r="B52" s="57" t="s">
        <v>77</v>
      </c>
      <c r="C52" s="57" t="s">
        <v>63</v>
      </c>
      <c r="D52" s="58" t="s">
        <v>3</v>
      </c>
      <c r="E52" s="56">
        <v>4</v>
      </c>
    </row>
    <row r="53" spans="1:7" s="59" customFormat="1" ht="16.5">
      <c r="A53" s="56">
        <v>52</v>
      </c>
      <c r="B53" s="57" t="s">
        <v>78</v>
      </c>
      <c r="C53" s="57" t="s">
        <v>63</v>
      </c>
      <c r="D53" s="58" t="s">
        <v>3</v>
      </c>
      <c r="E53" s="56">
        <v>4</v>
      </c>
    </row>
    <row r="54" spans="1:7" s="44" customFormat="1" ht="16.5">
      <c r="A54" s="40">
        <v>53</v>
      </c>
      <c r="B54" s="45" t="s">
        <v>81</v>
      </c>
      <c r="C54" s="45" t="s">
        <v>63</v>
      </c>
      <c r="D54" s="46" t="s">
        <v>3</v>
      </c>
      <c r="E54" s="40">
        <v>9</v>
      </c>
    </row>
    <row r="55" spans="1:7" s="15" customFormat="1" ht="16.5">
      <c r="A55" s="13">
        <v>54</v>
      </c>
      <c r="B55" s="14" t="s">
        <v>82</v>
      </c>
      <c r="C55" s="25"/>
      <c r="D55" s="16" t="s">
        <v>3</v>
      </c>
      <c r="E55" s="13">
        <v>1</v>
      </c>
    </row>
    <row r="56" spans="1:7" s="59" customFormat="1" ht="16.5">
      <c r="A56" s="56">
        <v>55</v>
      </c>
      <c r="B56" s="60" t="s">
        <v>34</v>
      </c>
      <c r="C56" s="60" t="s">
        <v>35</v>
      </c>
      <c r="D56" s="58" t="s">
        <v>3</v>
      </c>
      <c r="E56" s="61">
        <v>1</v>
      </c>
    </row>
    <row r="57" spans="1:7" s="59" customFormat="1" ht="16.5">
      <c r="A57" s="56">
        <v>56</v>
      </c>
      <c r="B57" s="60" t="s">
        <v>39</v>
      </c>
      <c r="C57" s="60" t="s">
        <v>49</v>
      </c>
      <c r="D57" s="58" t="s">
        <v>3</v>
      </c>
      <c r="E57" s="56">
        <v>1</v>
      </c>
    </row>
    <row r="58" spans="1:7" s="59" customFormat="1" ht="16.5">
      <c r="A58" s="56">
        <v>57</v>
      </c>
      <c r="B58" s="61" t="s">
        <v>42</v>
      </c>
      <c r="C58" s="61"/>
      <c r="D58" s="58" t="s">
        <v>3</v>
      </c>
      <c r="E58" s="56">
        <v>1</v>
      </c>
    </row>
    <row r="59" spans="1:7" s="59" customFormat="1" ht="16.5">
      <c r="A59" s="56">
        <v>58</v>
      </c>
      <c r="B59" s="60" t="s">
        <v>40</v>
      </c>
      <c r="C59" s="60" t="s">
        <v>41</v>
      </c>
      <c r="D59" s="58" t="s">
        <v>3</v>
      </c>
      <c r="E59" s="56">
        <v>2</v>
      </c>
    </row>
    <row r="60" spans="1:7" s="30" customFormat="1" ht="16.5">
      <c r="A60" s="13">
        <v>59</v>
      </c>
      <c r="B60" s="26" t="s">
        <v>84</v>
      </c>
      <c r="C60" s="27"/>
      <c r="D60" s="16" t="s">
        <v>3</v>
      </c>
      <c r="E60" s="28">
        <v>1</v>
      </c>
      <c r="F60" s="29"/>
      <c r="G60" s="29"/>
    </row>
    <row r="61" spans="1:7" s="49" customFormat="1" ht="33">
      <c r="A61" s="31">
        <v>60</v>
      </c>
      <c r="B61" s="47" t="s">
        <v>85</v>
      </c>
      <c r="D61" s="49" t="s">
        <v>3</v>
      </c>
      <c r="E61" s="48">
        <v>4</v>
      </c>
    </row>
    <row r="62" spans="1:7" ht="16.5">
      <c r="B62" s="1" t="s">
        <v>86</v>
      </c>
      <c r="D62" s="49" t="s">
        <v>3</v>
      </c>
      <c r="E62" s="62">
        <v>2</v>
      </c>
    </row>
    <row r="63" spans="1:7">
      <c r="A63" t="s">
        <v>87</v>
      </c>
      <c r="B63" s="68" t="s">
        <v>88</v>
      </c>
      <c r="C63" s="68" t="s">
        <v>89</v>
      </c>
      <c r="D63" t="s">
        <v>3</v>
      </c>
      <c r="E63" s="69" t="e">
        <f>SUMIF('[1]Исходные позиции'!$D$4:$D$107,A63,'[1]Исходные позиции'!$H$4:$H$107)</f>
        <v>#VALUE!</v>
      </c>
    </row>
    <row r="64" spans="1:7">
      <c r="A64" t="s">
        <v>90</v>
      </c>
      <c r="B64" s="68" t="s">
        <v>91</v>
      </c>
      <c r="C64" s="68" t="s">
        <v>89</v>
      </c>
      <c r="D64" t="s">
        <v>3</v>
      </c>
      <c r="E64" s="69" t="e">
        <f>SUMIF('[1]Исходные позиции'!$D$4:$D$107,A64,'[1]Исходные позиции'!$H$4:$H$107)</f>
        <v>#VALUE!</v>
      </c>
    </row>
    <row r="65" spans="1:5">
      <c r="A65" t="s">
        <v>92</v>
      </c>
      <c r="B65" s="68" t="s">
        <v>93</v>
      </c>
      <c r="C65" s="68" t="s">
        <v>94</v>
      </c>
      <c r="D65" t="s">
        <v>3</v>
      </c>
      <c r="E65" s="69" t="e">
        <f>SUMIF('[1]Исходные позиции'!$D$4:$D$107,A65,'[1]Исходные позиции'!$H$4:$H$107)</f>
        <v>#VALUE!</v>
      </c>
    </row>
  </sheetData>
  <autoFilter ref="A1:E33" xr:uid="{00000000-0009-0000-0000-000002000000}"/>
  <conditionalFormatting sqref="H34:I34">
    <cfRule type="expression" dxfId="5" priority="1">
      <formula>H34&lt;&gt;"OK"</formula>
    </cfRule>
  </conditionalFormatting>
  <conditionalFormatting sqref="I34">
    <cfRule type="expression" dxfId="4" priority="2">
      <formula>I34&lt;&gt;"OK"</formula>
    </cfRule>
  </conditionalFormatting>
  <pageMargins left="0.79" right="0.4" top="0.79" bottom="0.79" header="0.39" footer="0.39"/>
  <pageSetup paperSize="8" fitToWidth="2" fitToHeight="0" orientation="landscape" r:id="rId1"/>
  <headerFooter>
    <oddHeader>&amp;C&amp;"Times New Roman,Regular"&amp;10 &amp;P</oddHeader>
    <oddFooter>&amp;L&amp;9 Сводная закупок вне ETM&amp;R&amp;9 26.10.2026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9DFD-753C-4F79-A62B-FCCA0FE613DB}">
  <dimension ref="A1:I34"/>
  <sheetViews>
    <sheetView topLeftCell="A13" workbookViewId="0">
      <selection activeCell="B16" sqref="B16"/>
    </sheetView>
  </sheetViews>
  <sheetFormatPr defaultRowHeight="15"/>
  <cols>
    <col min="1" max="1" width="4.42578125" bestFit="1" customWidth="1"/>
    <col min="2" max="2" width="78.42578125" bestFit="1" customWidth="1"/>
    <col min="3" max="3" width="16.42578125" customWidth="1"/>
    <col min="4" max="4" width="5" bestFit="1" customWidth="1"/>
    <col min="5" max="5" width="5.42578125" bestFit="1" customWidth="1"/>
  </cols>
  <sheetData>
    <row r="1" spans="1:9" s="7" customFormat="1" ht="33">
      <c r="A1" s="10">
        <v>1</v>
      </c>
      <c r="B1" s="3" t="s">
        <v>2</v>
      </c>
      <c r="C1" s="4"/>
      <c r="D1" s="11" t="s">
        <v>3</v>
      </c>
      <c r="E1" s="10">
        <v>3</v>
      </c>
    </row>
    <row r="2" spans="1:9" s="7" customFormat="1" ht="49.5">
      <c r="A2" s="10">
        <v>2</v>
      </c>
      <c r="B2" s="3" t="s">
        <v>4</v>
      </c>
      <c r="C2" s="4"/>
      <c r="D2" s="11" t="s">
        <v>3</v>
      </c>
      <c r="E2" s="10">
        <v>3</v>
      </c>
    </row>
    <row r="3" spans="1:9" s="7" customFormat="1" ht="16.5">
      <c r="A3" s="10">
        <v>3</v>
      </c>
      <c r="B3" s="5" t="s">
        <v>79</v>
      </c>
      <c r="C3" s="5" t="s">
        <v>80</v>
      </c>
      <c r="D3" s="12" t="s">
        <v>10</v>
      </c>
      <c r="E3" s="10">
        <v>2</v>
      </c>
    </row>
    <row r="4" spans="1:9" s="7" customFormat="1" ht="16.5">
      <c r="A4" s="10">
        <v>4</v>
      </c>
      <c r="B4" s="3" t="s">
        <v>11</v>
      </c>
      <c r="C4" s="4"/>
      <c r="D4" s="11" t="s">
        <v>3</v>
      </c>
      <c r="E4" s="10">
        <v>4</v>
      </c>
    </row>
    <row r="5" spans="1:9" s="7" customFormat="1" ht="16.5">
      <c r="A5" s="10">
        <v>5</v>
      </c>
      <c r="B5" s="3" t="s">
        <v>12</v>
      </c>
      <c r="C5" s="4"/>
      <c r="D5" s="11" t="s">
        <v>3</v>
      </c>
      <c r="E5" s="10">
        <v>3</v>
      </c>
    </row>
    <row r="6" spans="1:9" s="7" customFormat="1" ht="16.5">
      <c r="A6" s="10">
        <v>6</v>
      </c>
      <c r="B6" s="3" t="s">
        <v>13</v>
      </c>
      <c r="C6" s="4"/>
      <c r="D6" s="11" t="s">
        <v>3</v>
      </c>
      <c r="E6" s="10">
        <v>4</v>
      </c>
    </row>
    <row r="7" spans="1:9" s="7" customFormat="1" ht="132">
      <c r="A7" s="10">
        <v>7</v>
      </c>
      <c r="B7" s="3" t="s">
        <v>14</v>
      </c>
      <c r="C7" s="4"/>
      <c r="D7" s="11" t="s">
        <v>3</v>
      </c>
      <c r="E7" s="10">
        <v>2</v>
      </c>
    </row>
    <row r="8" spans="1:9" s="7" customFormat="1" ht="33">
      <c r="A8" s="10">
        <v>19</v>
      </c>
      <c r="B8" s="3" t="s">
        <v>26</v>
      </c>
      <c r="C8" s="4"/>
      <c r="D8" s="11" t="s">
        <v>3</v>
      </c>
      <c r="E8" s="10">
        <v>4</v>
      </c>
    </row>
    <row r="9" spans="1:9" s="7" customFormat="1" ht="16.5">
      <c r="A9" s="10">
        <v>8</v>
      </c>
      <c r="B9" s="3" t="s">
        <v>15</v>
      </c>
      <c r="C9" s="4"/>
      <c r="D9" s="11" t="s">
        <v>3</v>
      </c>
      <c r="E9" s="10">
        <v>6</v>
      </c>
    </row>
    <row r="10" spans="1:9" s="7" customFormat="1" ht="16.5">
      <c r="A10" s="10">
        <v>9</v>
      </c>
      <c r="B10" s="3" t="s">
        <v>16</v>
      </c>
      <c r="C10" s="4"/>
      <c r="D10" s="11" t="s">
        <v>3</v>
      </c>
      <c r="E10" s="10">
        <v>3</v>
      </c>
    </row>
    <row r="11" spans="1:9" s="7" customFormat="1" ht="33">
      <c r="A11" s="10">
        <v>10</v>
      </c>
      <c r="B11" s="3" t="s">
        <v>17</v>
      </c>
      <c r="C11" s="4"/>
      <c r="D11" s="11" t="s">
        <v>3</v>
      </c>
      <c r="E11" s="10">
        <v>2</v>
      </c>
    </row>
    <row r="12" spans="1:9" s="7" customFormat="1" ht="33">
      <c r="A12" s="10">
        <v>11</v>
      </c>
      <c r="B12" s="3" t="s">
        <v>18</v>
      </c>
      <c r="C12" s="4"/>
      <c r="D12" s="11" t="s">
        <v>3</v>
      </c>
      <c r="E12" s="10">
        <v>4</v>
      </c>
    </row>
    <row r="13" spans="1:9" s="7" customFormat="1" ht="49.5">
      <c r="A13" s="2" t="s">
        <v>0</v>
      </c>
      <c r="B13" s="2" t="s">
        <v>83</v>
      </c>
      <c r="C13" s="2" t="s">
        <v>47</v>
      </c>
      <c r="D13" s="2" t="s">
        <v>1</v>
      </c>
      <c r="E13" s="2" t="s">
        <v>48</v>
      </c>
    </row>
    <row r="14" spans="1:9" s="7" customFormat="1" ht="16.5">
      <c r="A14" s="10">
        <v>12</v>
      </c>
      <c r="B14" s="3" t="s">
        <v>29</v>
      </c>
      <c r="C14" s="4"/>
      <c r="D14" s="11" t="s">
        <v>3</v>
      </c>
      <c r="E14" s="10">
        <v>4</v>
      </c>
    </row>
    <row r="15" spans="1:9" s="7" customFormat="1" ht="16.5">
      <c r="A15" s="10">
        <v>13</v>
      </c>
      <c r="B15" s="3" t="s">
        <v>33</v>
      </c>
      <c r="C15" s="4"/>
      <c r="D15" s="11" t="s">
        <v>3</v>
      </c>
      <c r="E15" s="10">
        <v>4</v>
      </c>
    </row>
    <row r="16" spans="1:9" s="7" customFormat="1" ht="16.5">
      <c r="A16" s="10">
        <v>14</v>
      </c>
      <c r="B16" s="5" t="s">
        <v>50</v>
      </c>
      <c r="C16" s="5" t="s">
        <v>51</v>
      </c>
      <c r="D16" s="12" t="s">
        <v>3</v>
      </c>
      <c r="E16" s="10">
        <v>1</v>
      </c>
      <c r="G16" s="6"/>
      <c r="H16" s="6"/>
      <c r="I16" s="6"/>
    </row>
    <row r="17" spans="1:7" s="7" customFormat="1" ht="16.5">
      <c r="A17" s="10">
        <v>15</v>
      </c>
      <c r="B17" s="5" t="s">
        <v>82</v>
      </c>
      <c r="C17" s="8"/>
      <c r="D17" s="12" t="s">
        <v>3</v>
      </c>
      <c r="E17" s="10">
        <v>1</v>
      </c>
    </row>
    <row r="18" spans="1:7" s="51" customFormat="1" ht="16.5">
      <c r="A18" s="10">
        <v>16</v>
      </c>
      <c r="B18" s="52" t="s">
        <v>84</v>
      </c>
      <c r="C18" s="53"/>
      <c r="D18" s="12" t="s">
        <v>3</v>
      </c>
      <c r="E18" s="53">
        <v>1</v>
      </c>
      <c r="F18" s="54"/>
      <c r="G18" s="54"/>
    </row>
    <row r="19" spans="1:7" s="7" customFormat="1" ht="16.5">
      <c r="A19" s="10">
        <v>17</v>
      </c>
      <c r="B19" s="3" t="s">
        <v>6</v>
      </c>
      <c r="C19" s="3" t="s">
        <v>7</v>
      </c>
      <c r="D19" s="11" t="s">
        <v>3</v>
      </c>
      <c r="E19" s="10">
        <v>500</v>
      </c>
    </row>
    <row r="20" spans="1:7" s="7" customFormat="1" ht="33">
      <c r="A20" s="10">
        <v>18</v>
      </c>
      <c r="B20" s="3" t="s">
        <v>8</v>
      </c>
      <c r="C20" s="3" t="s">
        <v>9</v>
      </c>
      <c r="D20" s="11" t="s">
        <v>10</v>
      </c>
      <c r="E20" s="10">
        <v>250</v>
      </c>
    </row>
    <row r="21" spans="1:7" s="7" customFormat="1" ht="16.5">
      <c r="A21" s="10">
        <v>19</v>
      </c>
      <c r="B21" s="3" t="s">
        <v>97</v>
      </c>
      <c r="C21" s="3"/>
      <c r="D21" s="11" t="s">
        <v>3</v>
      </c>
      <c r="E21" s="10">
        <v>1</v>
      </c>
    </row>
    <row r="22" spans="1:7" s="7" customFormat="1" ht="16.5">
      <c r="A22" s="10">
        <v>20</v>
      </c>
      <c r="B22" s="3" t="s">
        <v>98</v>
      </c>
      <c r="C22" s="3"/>
      <c r="D22" s="11" t="s">
        <v>3</v>
      </c>
      <c r="E22" s="10">
        <v>2</v>
      </c>
    </row>
    <row r="23" spans="1:7" s="7" customFormat="1" ht="16.5">
      <c r="A23" s="10">
        <v>21</v>
      </c>
      <c r="B23" s="3" t="s">
        <v>99</v>
      </c>
      <c r="C23" s="3"/>
      <c r="D23" s="11" t="s">
        <v>3</v>
      </c>
      <c r="E23" s="10">
        <v>1</v>
      </c>
    </row>
    <row r="24" spans="1:7" s="7" customFormat="1" ht="16.5">
      <c r="A24" s="10">
        <v>22</v>
      </c>
      <c r="B24" s="3" t="s">
        <v>100</v>
      </c>
      <c r="C24" s="3"/>
      <c r="D24" s="11" t="s">
        <v>3</v>
      </c>
      <c r="E24" s="10">
        <v>2</v>
      </c>
    </row>
    <row r="25" spans="1:7" s="7" customFormat="1" ht="16.5">
      <c r="A25" s="10">
        <v>23</v>
      </c>
      <c r="B25" s="3" t="s">
        <v>95</v>
      </c>
      <c r="C25" s="3"/>
      <c r="D25" s="11" t="s">
        <v>3</v>
      </c>
      <c r="E25" s="10">
        <v>1</v>
      </c>
    </row>
    <row r="26" spans="1:7" s="7" customFormat="1" ht="16.5">
      <c r="A26" s="10">
        <v>24</v>
      </c>
      <c r="B26" s="3" t="s">
        <v>96</v>
      </c>
      <c r="C26" s="3"/>
      <c r="D26" s="11" t="s">
        <v>3</v>
      </c>
      <c r="E26" s="10">
        <v>2</v>
      </c>
    </row>
    <row r="27" spans="1:7" s="7" customFormat="1" ht="16.5">
      <c r="A27" s="10">
        <v>25</v>
      </c>
      <c r="B27" s="3" t="s">
        <v>101</v>
      </c>
      <c r="C27" s="3"/>
      <c r="D27" s="11" t="s">
        <v>3</v>
      </c>
      <c r="E27" s="10">
        <v>1</v>
      </c>
    </row>
    <row r="28" spans="1:7" s="7" customFormat="1" ht="18.75" customHeight="1">
      <c r="A28" s="10">
        <v>26</v>
      </c>
      <c r="B28" s="55" t="s">
        <v>52</v>
      </c>
      <c r="C28" s="5" t="s">
        <v>53</v>
      </c>
      <c r="D28" s="50" t="s">
        <v>10</v>
      </c>
      <c r="E28" s="10">
        <v>7</v>
      </c>
    </row>
    <row r="29" spans="1:7" s="7" customFormat="1" ht="16.5">
      <c r="A29" s="10">
        <v>27</v>
      </c>
      <c r="B29" s="5" t="s">
        <v>54</v>
      </c>
      <c r="C29" s="5" t="s">
        <v>55</v>
      </c>
      <c r="D29" s="12" t="s">
        <v>10</v>
      </c>
      <c r="E29" s="10">
        <v>40</v>
      </c>
    </row>
    <row r="30" spans="1:7" s="7" customFormat="1" ht="16.5">
      <c r="A30" s="10">
        <v>28</v>
      </c>
      <c r="B30" s="5" t="s">
        <v>56</v>
      </c>
      <c r="C30" s="5" t="s">
        <v>55</v>
      </c>
      <c r="D30" s="12" t="s">
        <v>10</v>
      </c>
      <c r="E30" s="10">
        <v>40</v>
      </c>
    </row>
    <row r="31" spans="1:7" s="7" customFormat="1" ht="16.5">
      <c r="A31" s="10">
        <v>29</v>
      </c>
      <c r="B31" s="5" t="s">
        <v>57</v>
      </c>
      <c r="C31" s="5" t="s">
        <v>58</v>
      </c>
      <c r="D31" s="12" t="s">
        <v>10</v>
      </c>
      <c r="E31" s="10">
        <v>50</v>
      </c>
    </row>
    <row r="32" spans="1:7" s="7" customFormat="1" ht="16.5">
      <c r="A32" s="10">
        <v>30</v>
      </c>
      <c r="B32" s="5" t="s">
        <v>59</v>
      </c>
      <c r="C32" s="5" t="s">
        <v>60</v>
      </c>
      <c r="D32" s="12" t="s">
        <v>10</v>
      </c>
      <c r="E32" s="10">
        <v>282</v>
      </c>
    </row>
    <row r="33" spans="1:7" ht="16.5">
      <c r="A33" s="10">
        <v>31</v>
      </c>
      <c r="B33" s="80" t="s">
        <v>88</v>
      </c>
      <c r="C33" s="80" t="s">
        <v>89</v>
      </c>
      <c r="D33" s="81" t="s">
        <v>3</v>
      </c>
      <c r="E33" s="82">
        <v>2</v>
      </c>
      <c r="F33" s="1"/>
      <c r="G33" s="1"/>
    </row>
    <row r="34" spans="1:7" ht="16.5">
      <c r="A34" s="10">
        <v>32</v>
      </c>
      <c r="B34" s="80" t="s">
        <v>91</v>
      </c>
      <c r="C34" s="80" t="s">
        <v>89</v>
      </c>
      <c r="D34" s="81" t="s">
        <v>3</v>
      </c>
      <c r="E34" s="82">
        <v>4</v>
      </c>
      <c r="F34" s="1"/>
      <c r="G34" s="1"/>
    </row>
  </sheetData>
  <conditionalFormatting sqref="H16:I16">
    <cfRule type="expression" dxfId="3" priority="1">
      <formula>H16&lt;&gt;"OK"</formula>
    </cfRule>
  </conditionalFormatting>
  <conditionalFormatting sqref="I16">
    <cfRule type="expression" dxfId="2" priority="2">
      <formula>I16&lt;&gt;"OK"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3009-6D21-4392-B504-403E86E1E204}">
  <dimension ref="A1:I19"/>
  <sheetViews>
    <sheetView workbookViewId="0">
      <selection activeCell="E19" sqref="E19"/>
    </sheetView>
  </sheetViews>
  <sheetFormatPr defaultRowHeight="15"/>
  <cols>
    <col min="2" max="2" width="86.7109375" bestFit="1" customWidth="1"/>
    <col min="3" max="3" width="21.7109375" customWidth="1"/>
    <col min="4" max="4" width="9.140625" style="79"/>
  </cols>
  <sheetData>
    <row r="1" spans="1:9" s="7" customFormat="1" ht="49.5">
      <c r="A1" s="2" t="s">
        <v>0</v>
      </c>
      <c r="B1" s="2" t="s">
        <v>83</v>
      </c>
      <c r="C1" s="2" t="s">
        <v>47</v>
      </c>
      <c r="D1" s="2" t="s">
        <v>1</v>
      </c>
      <c r="E1" s="2" t="s">
        <v>48</v>
      </c>
    </row>
    <row r="2" spans="1:9" s="7" customFormat="1" ht="16.5">
      <c r="A2" s="10">
        <v>1</v>
      </c>
      <c r="B2" s="3" t="s">
        <v>27</v>
      </c>
      <c r="C2" s="4"/>
      <c r="D2" s="11" t="s">
        <v>3</v>
      </c>
      <c r="E2" s="10">
        <v>3</v>
      </c>
    </row>
    <row r="3" spans="1:9" s="7" customFormat="1" ht="33">
      <c r="A3" s="10">
        <v>2</v>
      </c>
      <c r="B3" s="3" t="s">
        <v>24</v>
      </c>
      <c r="C3" s="3" t="s">
        <v>25</v>
      </c>
      <c r="D3" s="11" t="s">
        <v>3</v>
      </c>
      <c r="E3" s="10">
        <v>4</v>
      </c>
    </row>
    <row r="4" spans="1:9" s="7" customFormat="1" ht="16.5">
      <c r="A4" s="10">
        <v>3</v>
      </c>
      <c r="B4" s="3" t="s">
        <v>31</v>
      </c>
      <c r="C4" s="4"/>
      <c r="D4" s="11" t="s">
        <v>3</v>
      </c>
      <c r="E4" s="10">
        <v>3</v>
      </c>
    </row>
    <row r="5" spans="1:9" s="7" customFormat="1" ht="16.5">
      <c r="A5" s="10">
        <v>4</v>
      </c>
      <c r="B5" s="3" t="s">
        <v>36</v>
      </c>
      <c r="C5" s="4"/>
      <c r="D5" s="11" t="s">
        <v>3</v>
      </c>
      <c r="E5" s="10">
        <v>1</v>
      </c>
    </row>
    <row r="6" spans="1:9" s="7" customFormat="1" ht="16.5">
      <c r="A6" s="10">
        <v>5</v>
      </c>
      <c r="B6" s="3" t="s">
        <v>37</v>
      </c>
      <c r="C6" s="4"/>
      <c r="D6" s="11" t="s">
        <v>3</v>
      </c>
      <c r="E6" s="10">
        <v>1</v>
      </c>
    </row>
    <row r="7" spans="1:9" s="7" customFormat="1" ht="16.5">
      <c r="A7" s="10">
        <v>6</v>
      </c>
      <c r="B7" s="3" t="s">
        <v>38</v>
      </c>
      <c r="C7" s="4"/>
      <c r="D7" s="11" t="s">
        <v>3</v>
      </c>
      <c r="E7" s="10">
        <v>2</v>
      </c>
    </row>
    <row r="8" spans="1:9" s="64" customFormat="1" ht="49.5">
      <c r="A8" s="10">
        <v>7</v>
      </c>
      <c r="B8" s="3" t="s">
        <v>43</v>
      </c>
      <c r="C8" s="4"/>
      <c r="D8" s="11" t="s">
        <v>3</v>
      </c>
      <c r="E8" s="10">
        <v>2</v>
      </c>
      <c r="F8" s="63"/>
      <c r="G8" s="63"/>
    </row>
    <row r="9" spans="1:9" s="7" customFormat="1" ht="16.5">
      <c r="A9" s="10">
        <v>8</v>
      </c>
      <c r="B9" s="65" t="s">
        <v>86</v>
      </c>
      <c r="C9" s="65"/>
      <c r="D9" s="78" t="s">
        <v>3</v>
      </c>
      <c r="E9" s="66">
        <v>1</v>
      </c>
    </row>
    <row r="10" spans="1:9" s="7" customFormat="1" ht="16.5">
      <c r="A10" s="10">
        <v>9</v>
      </c>
      <c r="B10" s="3" t="s">
        <v>46</v>
      </c>
      <c r="C10" s="4"/>
      <c r="D10" s="11" t="s">
        <v>3</v>
      </c>
      <c r="E10" s="10">
        <v>1</v>
      </c>
      <c r="G10" s="6"/>
      <c r="H10" s="6"/>
      <c r="I10" s="6"/>
    </row>
    <row r="11" spans="1:9" s="7" customFormat="1" ht="16.5">
      <c r="A11" s="10">
        <v>10</v>
      </c>
      <c r="B11" s="5" t="s">
        <v>50</v>
      </c>
      <c r="C11" s="5" t="s">
        <v>51</v>
      </c>
      <c r="D11" s="12" t="s">
        <v>3</v>
      </c>
      <c r="E11" s="10">
        <v>2</v>
      </c>
      <c r="F11" s="9"/>
    </row>
    <row r="12" spans="1:9" s="7" customFormat="1" ht="16.5">
      <c r="A12" s="10">
        <v>11</v>
      </c>
      <c r="B12" s="5" t="s">
        <v>65</v>
      </c>
      <c r="C12" s="5" t="s">
        <v>66</v>
      </c>
      <c r="D12" s="12" t="s">
        <v>10</v>
      </c>
      <c r="E12" s="10">
        <v>20</v>
      </c>
    </row>
    <row r="13" spans="1:9" s="7" customFormat="1" ht="16.5">
      <c r="A13" s="10">
        <v>12</v>
      </c>
      <c r="B13" s="5" t="s">
        <v>52</v>
      </c>
      <c r="C13" s="5" t="s">
        <v>53</v>
      </c>
      <c r="D13" s="50" t="s">
        <v>10</v>
      </c>
      <c r="E13" s="10">
        <v>66</v>
      </c>
    </row>
    <row r="14" spans="1:9" s="7" customFormat="1" ht="16.5">
      <c r="A14" s="10">
        <v>13</v>
      </c>
      <c r="B14" s="3" t="s">
        <v>6</v>
      </c>
      <c r="C14" s="3" t="s">
        <v>7</v>
      </c>
      <c r="D14" s="11" t="s">
        <v>3</v>
      </c>
      <c r="E14" s="10">
        <v>132</v>
      </c>
    </row>
    <row r="15" spans="1:9" s="51" customFormat="1" ht="33">
      <c r="A15" s="10">
        <v>14</v>
      </c>
      <c r="B15" s="3" t="s">
        <v>8</v>
      </c>
      <c r="C15" s="3" t="s">
        <v>9</v>
      </c>
      <c r="D15" s="11" t="s">
        <v>10</v>
      </c>
      <c r="E15" s="10">
        <v>66</v>
      </c>
    </row>
    <row r="16" spans="1:9" ht="33">
      <c r="A16" s="10">
        <v>15</v>
      </c>
      <c r="B16" s="5" t="s">
        <v>85</v>
      </c>
      <c r="C16" s="67"/>
      <c r="D16" s="76" t="s">
        <v>3</v>
      </c>
      <c r="E16" s="10">
        <v>4</v>
      </c>
      <c r="F16" s="1"/>
      <c r="G16" s="1"/>
    </row>
    <row r="17" spans="1:7" ht="16.5">
      <c r="A17" s="10">
        <v>16</v>
      </c>
      <c r="B17" s="74" t="s">
        <v>88</v>
      </c>
      <c r="C17" s="74" t="s">
        <v>89</v>
      </c>
      <c r="D17" s="77" t="s">
        <v>3</v>
      </c>
      <c r="E17" s="75">
        <v>2</v>
      </c>
      <c r="F17" s="1"/>
      <c r="G17" s="1"/>
    </row>
    <row r="18" spans="1:7" s="7" customFormat="1" ht="16.5">
      <c r="A18" s="10">
        <v>17</v>
      </c>
      <c r="B18" s="74" t="s">
        <v>91</v>
      </c>
      <c r="C18" s="74" t="s">
        <v>89</v>
      </c>
      <c r="D18" s="77" t="s">
        <v>3</v>
      </c>
      <c r="E18" s="75">
        <v>4</v>
      </c>
    </row>
    <row r="19" spans="1:7" ht="16.5">
      <c r="A19" s="10">
        <v>18</v>
      </c>
      <c r="B19" s="5" t="s">
        <v>79</v>
      </c>
      <c r="C19" s="5" t="s">
        <v>80</v>
      </c>
      <c r="D19" s="12" t="s">
        <v>10</v>
      </c>
      <c r="E19" s="10">
        <v>4</v>
      </c>
    </row>
  </sheetData>
  <conditionalFormatting sqref="H10:I10">
    <cfRule type="expression" dxfId="1" priority="1">
      <formula>H10&lt;&gt;"OK"</formula>
    </cfRule>
  </conditionalFormatting>
  <conditionalFormatting sqref="I10">
    <cfRule type="expression" dxfId="0" priority="2">
      <formula>I10&lt;&gt;"OK"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3F1F-FC2B-4C4C-BD3C-136657662324}">
  <dimension ref="A1:G16"/>
  <sheetViews>
    <sheetView workbookViewId="0"/>
  </sheetViews>
  <sheetFormatPr defaultRowHeight="15"/>
  <cols>
    <col min="1" max="1" width="3.85546875" bestFit="1" customWidth="1"/>
    <col min="2" max="2" width="83" bestFit="1" customWidth="1"/>
    <col min="3" max="3" width="17.5703125" bestFit="1" customWidth="1"/>
    <col min="4" max="4" width="5" bestFit="1" customWidth="1"/>
    <col min="5" max="5" width="5.42578125" bestFit="1" customWidth="1"/>
  </cols>
  <sheetData>
    <row r="1" spans="1:7" s="7" customFormat="1" ht="49.5">
      <c r="A1" s="2" t="s">
        <v>0</v>
      </c>
      <c r="B1" s="2" t="s">
        <v>83</v>
      </c>
      <c r="C1" s="2" t="s">
        <v>47</v>
      </c>
      <c r="D1" s="2" t="s">
        <v>1</v>
      </c>
      <c r="E1" s="2" t="s">
        <v>48</v>
      </c>
    </row>
    <row r="2" spans="1:7" s="7" customFormat="1" ht="33">
      <c r="A2" s="10">
        <v>1</v>
      </c>
      <c r="B2" s="3" t="s">
        <v>19</v>
      </c>
      <c r="C2" s="4"/>
      <c r="D2" s="11" t="s">
        <v>3</v>
      </c>
      <c r="E2" s="10">
        <v>1</v>
      </c>
    </row>
    <row r="3" spans="1:7" s="7" customFormat="1" ht="16.5">
      <c r="A3" s="10">
        <v>2</v>
      </c>
      <c r="B3" s="3" t="s">
        <v>20</v>
      </c>
      <c r="C3" s="3" t="s">
        <v>21</v>
      </c>
      <c r="D3" s="11" t="s">
        <v>3</v>
      </c>
      <c r="E3" s="10">
        <v>6</v>
      </c>
    </row>
    <row r="4" spans="1:7" s="7" customFormat="1" ht="16.5">
      <c r="A4" s="10">
        <v>3</v>
      </c>
      <c r="B4" s="3" t="s">
        <v>22</v>
      </c>
      <c r="C4" s="3" t="s">
        <v>23</v>
      </c>
      <c r="D4" s="11" t="s">
        <v>3</v>
      </c>
      <c r="E4" s="10">
        <v>3</v>
      </c>
    </row>
    <row r="5" spans="1:7" s="7" customFormat="1" ht="49.5">
      <c r="A5" s="10">
        <v>4</v>
      </c>
      <c r="B5" s="3" t="s">
        <v>32</v>
      </c>
      <c r="C5" s="4"/>
      <c r="D5" s="11" t="s">
        <v>3</v>
      </c>
      <c r="E5" s="10">
        <v>1</v>
      </c>
    </row>
    <row r="6" spans="1:7" s="7" customFormat="1" ht="33">
      <c r="A6" s="10">
        <v>5</v>
      </c>
      <c r="B6" s="3" t="s">
        <v>44</v>
      </c>
      <c r="C6" s="3" t="s">
        <v>45</v>
      </c>
      <c r="D6" s="11" t="s">
        <v>3</v>
      </c>
      <c r="E6" s="10">
        <v>1</v>
      </c>
    </row>
    <row r="7" spans="1:7" s="7" customFormat="1" ht="16.5">
      <c r="A7" s="10">
        <v>6</v>
      </c>
      <c r="B7" s="5" t="s">
        <v>67</v>
      </c>
      <c r="C7" s="5" t="s">
        <v>62</v>
      </c>
      <c r="D7" s="12" t="s">
        <v>3</v>
      </c>
      <c r="E7" s="10">
        <v>2</v>
      </c>
    </row>
    <row r="8" spans="1:7" s="7" customFormat="1" ht="16.5">
      <c r="A8" s="10">
        <v>7</v>
      </c>
      <c r="B8" s="5" t="s">
        <v>68</v>
      </c>
      <c r="C8" s="5" t="s">
        <v>69</v>
      </c>
      <c r="D8" s="12" t="s">
        <v>3</v>
      </c>
      <c r="E8" s="10">
        <v>1</v>
      </c>
    </row>
    <row r="9" spans="1:7" s="7" customFormat="1" ht="16.5">
      <c r="A9" s="10">
        <v>8</v>
      </c>
      <c r="B9" s="5" t="s">
        <v>81</v>
      </c>
      <c r="C9" s="5" t="s">
        <v>63</v>
      </c>
      <c r="D9" s="12" t="s">
        <v>3</v>
      </c>
      <c r="E9" s="10">
        <v>9</v>
      </c>
    </row>
    <row r="10" spans="1:7" s="7" customFormat="1" ht="16.5">
      <c r="A10" s="10">
        <v>9</v>
      </c>
      <c r="B10" s="5" t="s">
        <v>59</v>
      </c>
      <c r="C10" s="5" t="s">
        <v>60</v>
      </c>
      <c r="D10" s="12" t="s">
        <v>10</v>
      </c>
      <c r="E10" s="10">
        <v>141</v>
      </c>
    </row>
    <row r="11" spans="1:7" s="7" customFormat="1" ht="16.5">
      <c r="A11" s="10">
        <v>10</v>
      </c>
      <c r="B11" s="3" t="s">
        <v>6</v>
      </c>
      <c r="C11" s="3" t="s">
        <v>7</v>
      </c>
      <c r="D11" s="11" t="s">
        <v>3</v>
      </c>
      <c r="E11" s="10">
        <v>280</v>
      </c>
    </row>
    <row r="12" spans="1:7" s="7" customFormat="1" ht="33">
      <c r="A12" s="10">
        <v>11</v>
      </c>
      <c r="B12" s="3" t="s">
        <v>8</v>
      </c>
      <c r="C12" s="3" t="s">
        <v>9</v>
      </c>
      <c r="D12" s="11" t="s">
        <v>10</v>
      </c>
      <c r="E12" s="10">
        <v>140</v>
      </c>
    </row>
    <row r="13" spans="1:7" s="7" customFormat="1" ht="16.5">
      <c r="A13" s="10">
        <v>12</v>
      </c>
      <c r="B13" s="3" t="s">
        <v>5</v>
      </c>
      <c r="C13" s="4"/>
      <c r="D13" s="11" t="s">
        <v>3</v>
      </c>
      <c r="E13" s="10">
        <v>50</v>
      </c>
    </row>
    <row r="14" spans="1:7" ht="16.5">
      <c r="A14" s="10">
        <v>13</v>
      </c>
      <c r="B14" s="68" t="s">
        <v>88</v>
      </c>
      <c r="C14" s="68" t="s">
        <v>89</v>
      </c>
      <c r="D14" t="s">
        <v>3</v>
      </c>
      <c r="E14" s="69">
        <v>1</v>
      </c>
      <c r="F14" s="1"/>
      <c r="G14" s="1"/>
    </row>
    <row r="15" spans="1:7" ht="16.5">
      <c r="A15" s="10">
        <v>14</v>
      </c>
      <c r="B15" s="68" t="s">
        <v>91</v>
      </c>
      <c r="C15" s="68" t="s">
        <v>89</v>
      </c>
      <c r="D15" t="s">
        <v>3</v>
      </c>
      <c r="E15" s="69">
        <v>2</v>
      </c>
      <c r="F15" s="1"/>
      <c r="G15" s="1"/>
    </row>
    <row r="16" spans="1:7" s="7" customFormat="1" ht="16.5">
      <c r="A16" s="10">
        <v>15</v>
      </c>
      <c r="B16" s="5" t="s">
        <v>79</v>
      </c>
      <c r="C16" s="5" t="s">
        <v>80</v>
      </c>
      <c r="D16" s="12" t="s">
        <v>10</v>
      </c>
      <c r="E16" s="1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A7C2-0A2F-4237-B02C-A5A2B227CBEA}">
  <dimension ref="A1:G23"/>
  <sheetViews>
    <sheetView workbookViewId="0">
      <selection activeCell="E22" sqref="E22"/>
    </sheetView>
  </sheetViews>
  <sheetFormatPr defaultRowHeight="15"/>
  <cols>
    <col min="1" max="1" width="4.7109375" bestFit="1" customWidth="1"/>
    <col min="2" max="2" width="90.5703125" bestFit="1" customWidth="1"/>
    <col min="3" max="3" width="18.140625" bestFit="1" customWidth="1"/>
    <col min="4" max="4" width="5" bestFit="1" customWidth="1"/>
    <col min="5" max="5" width="5.28515625" bestFit="1" customWidth="1"/>
  </cols>
  <sheetData>
    <row r="1" spans="1:5" s="7" customFormat="1" ht="49.5">
      <c r="A1" s="2" t="s">
        <v>0</v>
      </c>
      <c r="B1" s="2" t="s">
        <v>83</v>
      </c>
      <c r="C1" s="2" t="s">
        <v>47</v>
      </c>
      <c r="D1" s="2" t="s">
        <v>1</v>
      </c>
      <c r="E1" s="2" t="s">
        <v>48</v>
      </c>
    </row>
    <row r="2" spans="1:5" s="7" customFormat="1" ht="16.5">
      <c r="A2" s="10">
        <v>1</v>
      </c>
      <c r="B2" s="5" t="s">
        <v>64</v>
      </c>
      <c r="C2" s="5" t="s">
        <v>63</v>
      </c>
      <c r="D2" s="12" t="s">
        <v>10</v>
      </c>
      <c r="E2" s="10">
        <v>10</v>
      </c>
    </row>
    <row r="3" spans="1:5" s="7" customFormat="1" ht="16.5">
      <c r="A3" s="10">
        <v>2</v>
      </c>
      <c r="B3" s="5" t="s">
        <v>70</v>
      </c>
      <c r="C3" s="5" t="s">
        <v>62</v>
      </c>
      <c r="D3" s="12" t="s">
        <v>3</v>
      </c>
      <c r="E3" s="10">
        <v>1</v>
      </c>
    </row>
    <row r="4" spans="1:5" s="7" customFormat="1" ht="16.5">
      <c r="A4" s="10">
        <v>3</v>
      </c>
      <c r="B4" s="5" t="s">
        <v>71</v>
      </c>
      <c r="C4" s="5" t="s">
        <v>63</v>
      </c>
      <c r="D4" s="12" t="s">
        <v>3</v>
      </c>
      <c r="E4" s="10">
        <v>7</v>
      </c>
    </row>
    <row r="5" spans="1:5" s="7" customFormat="1" ht="16.5">
      <c r="A5" s="10">
        <v>4</v>
      </c>
      <c r="B5" s="5" t="s">
        <v>72</v>
      </c>
      <c r="C5" s="5" t="s">
        <v>62</v>
      </c>
      <c r="D5" s="12" t="s">
        <v>3</v>
      </c>
      <c r="E5" s="10">
        <v>1</v>
      </c>
    </row>
    <row r="6" spans="1:5" s="7" customFormat="1" ht="16.5">
      <c r="A6" s="10">
        <v>5</v>
      </c>
      <c r="B6" s="5" t="s">
        <v>73</v>
      </c>
      <c r="C6" s="5" t="s">
        <v>63</v>
      </c>
      <c r="D6" s="12" t="s">
        <v>3</v>
      </c>
      <c r="E6" s="10">
        <v>3</v>
      </c>
    </row>
    <row r="7" spans="1:5" s="7" customFormat="1" ht="16.5">
      <c r="A7" s="10">
        <v>6</v>
      </c>
      <c r="B7" s="5" t="s">
        <v>74</v>
      </c>
      <c r="C7" s="5" t="s">
        <v>63</v>
      </c>
      <c r="D7" s="12" t="s">
        <v>3</v>
      </c>
      <c r="E7" s="10">
        <v>2</v>
      </c>
    </row>
    <row r="8" spans="1:5" s="7" customFormat="1" ht="16.5">
      <c r="A8" s="10">
        <v>7</v>
      </c>
      <c r="B8" s="5" t="s">
        <v>75</v>
      </c>
      <c r="C8" s="5" t="s">
        <v>63</v>
      </c>
      <c r="D8" s="12" t="s">
        <v>3</v>
      </c>
      <c r="E8" s="10">
        <v>1</v>
      </c>
    </row>
    <row r="9" spans="1:5" s="7" customFormat="1" ht="15.75" customHeight="1">
      <c r="A9" s="10">
        <v>8</v>
      </c>
      <c r="B9" s="5" t="s">
        <v>76</v>
      </c>
      <c r="C9" s="5" t="s">
        <v>63</v>
      </c>
      <c r="D9" s="12" t="s">
        <v>3</v>
      </c>
      <c r="E9" s="10">
        <v>4</v>
      </c>
    </row>
    <row r="10" spans="1:5" s="7" customFormat="1" ht="16.5">
      <c r="A10" s="10">
        <v>9</v>
      </c>
      <c r="B10" s="5" t="s">
        <v>77</v>
      </c>
      <c r="C10" s="5" t="s">
        <v>63</v>
      </c>
      <c r="D10" s="12" t="s">
        <v>3</v>
      </c>
      <c r="E10" s="10">
        <v>4</v>
      </c>
    </row>
    <row r="11" spans="1:5" s="7" customFormat="1" ht="16.5">
      <c r="A11" s="10">
        <v>10</v>
      </c>
      <c r="B11" s="5" t="s">
        <v>78</v>
      </c>
      <c r="C11" s="5" t="s">
        <v>63</v>
      </c>
      <c r="D11" s="12" t="s">
        <v>3</v>
      </c>
      <c r="E11" s="10">
        <v>4</v>
      </c>
    </row>
    <row r="12" spans="1:5" s="7" customFormat="1" ht="16.5">
      <c r="A12" s="10">
        <v>11</v>
      </c>
      <c r="B12" s="3" t="s">
        <v>34</v>
      </c>
      <c r="C12" s="3" t="s">
        <v>35</v>
      </c>
      <c r="D12" s="12" t="s">
        <v>3</v>
      </c>
      <c r="E12" s="8">
        <v>1</v>
      </c>
    </row>
    <row r="13" spans="1:5" s="7" customFormat="1" ht="16.5">
      <c r="A13" s="10">
        <v>12</v>
      </c>
      <c r="B13" s="3" t="s">
        <v>39</v>
      </c>
      <c r="C13" s="3" t="s">
        <v>49</v>
      </c>
      <c r="D13" s="12" t="s">
        <v>3</v>
      </c>
      <c r="E13" s="10">
        <v>1</v>
      </c>
    </row>
    <row r="14" spans="1:5" s="7" customFormat="1" ht="16.5">
      <c r="A14" s="10">
        <v>13</v>
      </c>
      <c r="B14" s="8" t="s">
        <v>42</v>
      </c>
      <c r="C14" s="8"/>
      <c r="D14" s="12" t="s">
        <v>3</v>
      </c>
      <c r="E14" s="10">
        <v>1</v>
      </c>
    </row>
    <row r="15" spans="1:5" s="7" customFormat="1" ht="16.5">
      <c r="A15" s="10">
        <v>14</v>
      </c>
      <c r="B15" s="3" t="s">
        <v>40</v>
      </c>
      <c r="C15" s="3" t="s">
        <v>41</v>
      </c>
      <c r="D15" s="12" t="s">
        <v>3</v>
      </c>
      <c r="E15" s="10">
        <v>2</v>
      </c>
    </row>
    <row r="16" spans="1:5" s="7" customFormat="1" ht="16.5">
      <c r="A16" s="10">
        <v>15</v>
      </c>
      <c r="B16" s="5" t="s">
        <v>61</v>
      </c>
      <c r="C16" s="5" t="s">
        <v>62</v>
      </c>
      <c r="D16" s="12" t="s">
        <v>10</v>
      </c>
      <c r="E16" s="10">
        <v>45</v>
      </c>
    </row>
    <row r="17" spans="1:7" s="7" customFormat="1" ht="16.5">
      <c r="A17" s="10">
        <v>38</v>
      </c>
      <c r="B17" s="5" t="s">
        <v>59</v>
      </c>
      <c r="C17" s="5" t="s">
        <v>60</v>
      </c>
      <c r="D17" s="12" t="s">
        <v>10</v>
      </c>
      <c r="E17" s="10">
        <v>36</v>
      </c>
    </row>
    <row r="18" spans="1:7" s="7" customFormat="1" ht="16.5">
      <c r="A18" s="10">
        <v>16</v>
      </c>
      <c r="B18" s="3" t="s">
        <v>6</v>
      </c>
      <c r="C18" s="3" t="s">
        <v>7</v>
      </c>
      <c r="D18" s="11" t="s">
        <v>3</v>
      </c>
      <c r="E18" s="10">
        <v>40</v>
      </c>
    </row>
    <row r="19" spans="1:7" s="7" customFormat="1" ht="16.5">
      <c r="A19" s="10">
        <v>17</v>
      </c>
      <c r="B19" s="3" t="s">
        <v>8</v>
      </c>
      <c r="C19" s="3" t="s">
        <v>9</v>
      </c>
      <c r="D19" s="11" t="s">
        <v>10</v>
      </c>
      <c r="E19" s="10">
        <v>40</v>
      </c>
    </row>
    <row r="20" spans="1:7" ht="16.5">
      <c r="A20" s="10">
        <v>13</v>
      </c>
      <c r="B20" s="71" t="s">
        <v>88</v>
      </c>
      <c r="C20" s="71" t="s">
        <v>89</v>
      </c>
      <c r="D20" s="72" t="s">
        <v>3</v>
      </c>
      <c r="E20" s="73">
        <v>1</v>
      </c>
      <c r="F20" s="1"/>
      <c r="G20" s="1"/>
    </row>
    <row r="21" spans="1:7" ht="16.5">
      <c r="A21" s="10">
        <v>14</v>
      </c>
      <c r="B21" s="71" t="s">
        <v>91</v>
      </c>
      <c r="C21" s="71" t="s">
        <v>89</v>
      </c>
      <c r="D21" s="72" t="s">
        <v>3</v>
      </c>
      <c r="E21" s="73">
        <v>2</v>
      </c>
      <c r="F21" s="1"/>
      <c r="G21" s="1"/>
    </row>
    <row r="22" spans="1:7" s="7" customFormat="1" ht="16.5">
      <c r="A22" s="10">
        <v>15</v>
      </c>
      <c r="B22" s="5" t="s">
        <v>79</v>
      </c>
      <c r="C22" s="5" t="s">
        <v>80</v>
      </c>
      <c r="D22" s="12" t="s">
        <v>10</v>
      </c>
      <c r="E22" s="10">
        <v>2</v>
      </c>
    </row>
    <row r="23" spans="1:7" ht="16.5">
      <c r="A23" s="70"/>
      <c r="B23" s="68"/>
      <c r="C23" s="68"/>
      <c r="E23" s="69"/>
      <c r="F23" s="1"/>
      <c r="G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888-F344-4F4D-8AB8-B167E937D205}">
  <dimension ref="A1:G3"/>
  <sheetViews>
    <sheetView tabSelected="1" workbookViewId="0">
      <selection activeCell="E3" sqref="E3"/>
    </sheetView>
  </sheetViews>
  <sheetFormatPr defaultRowHeight="15"/>
  <cols>
    <col min="2" max="2" width="75" bestFit="1" customWidth="1"/>
    <col min="3" max="3" width="21.42578125" customWidth="1"/>
    <col min="5" max="5" width="13.85546875" customWidth="1"/>
  </cols>
  <sheetData>
    <row r="1" spans="1:7" s="7" customFormat="1" ht="49.5">
      <c r="A1" s="2" t="s">
        <v>0</v>
      </c>
      <c r="B1" s="2" t="s">
        <v>83</v>
      </c>
      <c r="C1" s="2" t="s">
        <v>47</v>
      </c>
      <c r="D1" s="2" t="s">
        <v>1</v>
      </c>
      <c r="E1" s="2" t="s">
        <v>48</v>
      </c>
    </row>
    <row r="2" spans="1:7" s="64" customFormat="1" ht="16.5">
      <c r="A2" s="10">
        <v>1</v>
      </c>
      <c r="B2" s="65" t="s">
        <v>86</v>
      </c>
      <c r="C2" s="65"/>
      <c r="D2" s="65" t="s">
        <v>3</v>
      </c>
      <c r="E2" s="66">
        <v>1</v>
      </c>
      <c r="F2" s="63"/>
      <c r="G2" s="63"/>
    </row>
    <row r="3" spans="1:7" s="7" customFormat="1" ht="16.5">
      <c r="A3" s="10">
        <v>2</v>
      </c>
      <c r="B3" s="5" t="s">
        <v>52</v>
      </c>
      <c r="C3" s="5" t="s">
        <v>53</v>
      </c>
      <c r="D3" s="50" t="s">
        <v>10</v>
      </c>
      <c r="E3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Сводная изделий</vt:lpstr>
      <vt:lpstr>СКУД</vt:lpstr>
      <vt:lpstr>СПС</vt:lpstr>
      <vt:lpstr>СОТ</vt:lpstr>
      <vt:lpstr>СКС</vt:lpstr>
      <vt:lpstr>СОТС</vt:lpstr>
      <vt:lpstr>'Сводная изделий'!_ФильтрБазыДанных</vt:lpstr>
      <vt:lpstr>'Сводная изделий'!Заголовки_для_печати</vt:lpstr>
      <vt:lpstr>'Сводная изделий'!Область_печати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</cp:lastModifiedBy>
  <dcterms:created xsi:type="dcterms:W3CDTF">2026-10-26T06:34:06Z</dcterms:created>
  <dcterms:modified xsi:type="dcterms:W3CDTF">2026-10-29T09:19:25Z</dcterms:modified>
</cp:coreProperties>
</file>
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ОТ КПП" sheetId="1" state="visible" r:id="rId3"/>
  </sheets>
  <definedNames>
    <definedName function="false" hidden="false" localSheetId="0" name="_xlnm.Print_Titles" vbProcedure="false">'Реестр СОТ КПП'!$10:$11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<sst xmlns="http://schemas.openxmlformats.org/spreadsheetml/2006/main" count="87" uniqueCount="72">
  <si>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</si>
  <si>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</si>
  <si>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</si>
  <si>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</si>
  <si>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КПП. Том ИД: СОТ — система охранная телевизионная (СОТ). Рабочая документация 16/1/26-СОТ-Р. Исполнительная документация 16/1/26-ИД-КПП, лист 5; кабельный журнал 16/1/26-ИД-КПП.КЖ (раздел СОТ)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</si>
  <si>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</si>
  <si>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1-СОТ-КПП, 2-СОТ-КПП.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</si>
  <si>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</si>
  <si>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</si>
  <si>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</si>
  <si>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</si>
  <si>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</si>
  <si>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</si>
  <si>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</si>
  <si>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</si>
  <si>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</si>
  <si>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</si>
  <si>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</si>
  <si>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</si>
  <si>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1-СОТ-КПП — монтаж защитных гильз и герметизация кабельных проходок</t>
  </si>
  <si>
    <t xml:space="preserve">Труба гладкая жёсткая ПВХ d20 мм, серая, арт. trg-20-2m (защитные гильзы)</t>
  </si>
  <si>
    <t xml:space="preserve">EKF</t>
  </si>
  <si>
    <t xml:space="preserve">м</t>
  </si>
  <si>
    <t xml:space="preserve">СЕРТИФИКАТ СООТВЕТСТВИЯ (ТР ЕАЭС 043/2017) с приложениями № 1–3</t>
  </si>
  <si>
    <t xml:space="preserve">ЕАЭС RU C-RU.ПБ68.В.00888/22</t>
  </si>
  <si>
    <t xml:space="preserve">15.03.2022</t>
  </si>
  <si>
    <t xml:space="preserve">по 14.03.2027 включительно</t>
  </si>
  <si>
    <t xml:space="preserve">ОС ООО «Пожарная Сертификационная Компания»</t>
  </si>
  <si>
    <t xml:space="preserve">1-СОТ-КПП</t>
  </si>
  <si>
    <t xml:space="preserve">Пена монтажная огнестойкая профессиональная «ОГНЕЗА», EI24, 935 г, арт. 105248</t>
  </si>
  <si>
    <t xml:space="preserve">ООО «ОГНЕЗА»</t>
  </si>
  <si>
    <t xml:space="preserve">баллон</t>
  </si>
  <si>
    <t xml:space="preserve">СЕРТИФИКАТ СООТВЕТСТВИЯ (добровольная сертификация)</t>
  </si>
  <si>
    <t xml:space="preserve">ССБК BY.ПБ10.Н00558</t>
  </si>
  <si>
    <t xml:space="preserve">23.08.2024</t>
  </si>
  <si>
    <t xml:space="preserve">по 22.08.2029</t>
  </si>
  <si>
    <t xml:space="preserve">ОС «Полисерт» АНО «Электросерт»</t>
  </si>
  <si>
    <t xml:space="preserve">Герметик акриловый противопожарный «ОГНЕЗА-ВГ», 310 мл, арт. 105031</t>
  </si>
  <si>
    <t xml:space="preserve">картридж</t>
  </si>
  <si>
    <t xml:space="preserve">СЕРТИФИКАТ СООТВЕТСТВИЯ (добровольная сертификация) с приложением</t>
  </si>
  <si>
    <t xml:space="preserve">НСОПБ.RU.ЭО.ПР.254.Н.00072</t>
  </si>
  <si>
    <t xml:space="preserve">14.04.2025</t>
  </si>
  <si>
    <t xml:space="preserve">по 13.04.2030</t>
  </si>
  <si>
    <t xml:space="preserve">ОС ООО «Международный Сертификационный Альянс»</t>
  </si>
  <si>
    <t xml:space="preserve">АОСР № 2-СОТ-КПП — прокладка кабельных линий</t>
  </si>
  <si>
    <t xml:space="preserve">Кабель витая пара ParLan U/UTP Cat 5e 4×2×0,52 PVC</t>
  </si>
  <si>
    <t xml:space="preserve">«Паритет»</t>
  </si>
  <si>
    <t xml:space="preserve">Предоставить</t>
  </si>
  <si>
    <t xml:space="preserve">2-СОТ-КПП</t>
  </si>
  <si>
    <t xml:space="preserve">Труба гофрированная ПВХ серая с/з d20 мм «Строитель», арт. PR.032000</t>
  </si>
  <si>
    <t xml:space="preserve">«Промрукав» (ООО «НЕПТУН»)</t>
  </si>
  <si>
    <t xml:space="preserve">СЕРТИФИКАТ СООТВЕТСТВИЯ (ТР ЕАЭС 043/2017) с приложениями № 1–2</t>
  </si>
  <si>
    <t xml:space="preserve">ЕАЭС RU C-RU.ПБ74.В.00766/23</t>
  </si>
  <si>
    <t xml:space="preserve">30.08.2023</t>
  </si>
  <si>
    <t xml:space="preserve">по 25.05.2027 включительно</t>
  </si>
  <si>
    <t xml:space="preserve">ОС «СЗРЦ СЕРТ»</t>
  </si>
  <si>
    <t xml:space="preserve">Скоба металлическая однолапковая СМО 19-20, арт. PR08.2534</t>
  </si>
  <si>
    <t xml:space="preserve">«Промрукав»</t>
  </si>
  <si>
    <t xml:space="preserve">шт.</t>
  </si>
  <si>
    <t xml:space="preserve">ПАСПОРТ</t>
  </si>
  <si>
    <t xml:space="preserve">—</t>
  </si>
  <si>
    <t xml:space="preserve">Изготовитель «Промрукав»</t>
  </si>
  <si>
    <t xml:space="preserve">Коробка ответвительная с 6 кабельными вводами d25 мм, IP55, 100×100×50 мм</t>
  </si>
  <si>
    <t xml:space="preserve">DKC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</si>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</sst>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46.2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2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4</v>
      </c>
      <c r="L13" s="7" t="s">
        <v>28</v>
      </c>
    </row>
    <row r="14" customFormat="false" ht="35.05" hidden="false" customHeight="false" outlineLevel="0" collapsed="false">
      <c r="A14" s="7" t="n">
        <v>2</v>
      </c>
      <c r="B14" s="8" t="s">
        <v>29</v>
      </c>
      <c r="C14" s="8" t="s">
        <v>30</v>
      </c>
      <c r="D14" s="7" t="s">
        <v>31</v>
      </c>
      <c r="E14" s="7" t="n">
        <v>1</v>
      </c>
      <c r="F14" s="8" t="s">
        <v>32</v>
      </c>
      <c r="G14" s="8" t="s">
        <v>33</v>
      </c>
      <c r="H14" s="7" t="s">
        <v>34</v>
      </c>
      <c r="I14" s="8" t="s">
        <v>35</v>
      </c>
      <c r="J14" s="8" t="s">
        <v>36</v>
      </c>
      <c r="K14" s="7" t="n">
        <v>1</v>
      </c>
      <c r="L14" s="7" t="s">
        <v>28</v>
      </c>
    </row>
    <row r="15" customFormat="false" ht="46.25" hidden="false" customHeight="false" outlineLevel="0" collapsed="false">
      <c r="A15" s="7" t="n">
        <v>3</v>
      </c>
      <c r="B15" s="8" t="s">
        <v>37</v>
      </c>
      <c r="C15" s="8" t="s">
        <v>30</v>
      </c>
      <c r="D15" s="7" t="s">
        <v>38</v>
      </c>
      <c r="E15" s="7" t="n">
        <v>2</v>
      </c>
      <c r="F15" s="8" t="s">
        <v>39</v>
      </c>
      <c r="G15" s="8" t="s">
        <v>40</v>
      </c>
      <c r="H15" s="7" t="s">
        <v>41</v>
      </c>
      <c r="I15" s="8" t="s">
        <v>42</v>
      </c>
      <c r="J15" s="8" t="s">
        <v>43</v>
      </c>
      <c r="K15" s="7" t="n">
        <v>2</v>
      </c>
      <c r="L15" s="7" t="s">
        <v>28</v>
      </c>
    </row>
    <row r="16" customFormat="false" ht="15" hidden="false" customHeight="false" outlineLevel="0" collapsed="false">
      <c r="A16" s="6" t="s">
        <v>44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23.85" hidden="false" customHeight="false" outlineLevel="0" collapsed="false">
      <c r="A17" s="7" t="n">
        <v>4</v>
      </c>
      <c r="B17" s="8" t="s">
        <v>45</v>
      </c>
      <c r="C17" s="8" t="s">
        <v>46</v>
      </c>
      <c r="D17" s="7" t="s">
        <v>22</v>
      </c>
      <c r="E17" s="7" t="n">
        <v>141</v>
      </c>
      <c r="F17" s="9" t="s">
        <v>47</v>
      </c>
      <c r="G17" s="10"/>
      <c r="H17" s="11"/>
      <c r="I17" s="10"/>
      <c r="J17" s="10"/>
      <c r="K17" s="11"/>
      <c r="L17" s="7" t="s">
        <v>48</v>
      </c>
    </row>
    <row r="18" customFormat="false" ht="46.25" hidden="false" customHeight="false" outlineLevel="0" collapsed="false">
      <c r="A18" s="7" t="n">
        <v>5</v>
      </c>
      <c r="B18" s="8" t="s">
        <v>49</v>
      </c>
      <c r="C18" s="8" t="s">
        <v>50</v>
      </c>
      <c r="D18" s="7" t="s">
        <v>22</v>
      </c>
      <c r="E18" s="7" t="n">
        <v>140</v>
      </c>
      <c r="F18" s="8" t="s">
        <v>51</v>
      </c>
      <c r="G18" s="8" t="s">
        <v>52</v>
      </c>
      <c r="H18" s="7" t="s">
        <v>53</v>
      </c>
      <c r="I18" s="8" t="s">
        <v>54</v>
      </c>
      <c r="J18" s="8" t="s">
        <v>55</v>
      </c>
      <c r="K18" s="7" t="n">
        <v>3</v>
      </c>
      <c r="L18" s="7" t="s">
        <v>48</v>
      </c>
    </row>
    <row r="19" customFormat="false" ht="23.85" hidden="false" customHeight="false" outlineLevel="0" collapsed="false">
      <c r="A19" s="7" t="n">
        <v>6</v>
      </c>
      <c r="B19" s="8" t="s">
        <v>56</v>
      </c>
      <c r="C19" s="8" t="s">
        <v>57</v>
      </c>
      <c r="D19" s="7" t="s">
        <v>58</v>
      </c>
      <c r="E19" s="7" t="n">
        <v>280</v>
      </c>
      <c r="F19" s="8" t="s">
        <v>59</v>
      </c>
      <c r="G19" s="8" t="s">
        <v>60</v>
      </c>
      <c r="H19" s="7" t="s">
        <v>60</v>
      </c>
      <c r="I19" s="8" t="s">
        <v>60</v>
      </c>
      <c r="J19" s="8" t="s">
        <v>61</v>
      </c>
      <c r="K19" s="7" t="n">
        <v>2</v>
      </c>
      <c r="L19" s="7" t="s">
        <v>48</v>
      </c>
    </row>
    <row r="20" customFormat="false" ht="23.85" hidden="false" customHeight="false" outlineLevel="0" collapsed="false">
      <c r="A20" s="7" t="n">
        <v>7</v>
      </c>
      <c r="B20" s="8" t="s">
        <v>62</v>
      </c>
      <c r="C20" s="8" t="s">
        <v>63</v>
      </c>
      <c r="D20" s="7" t="s">
        <v>58</v>
      </c>
      <c r="E20" s="7" t="n">
        <v>9</v>
      </c>
      <c r="F20" s="9" t="s">
        <v>47</v>
      </c>
      <c r="G20" s="10"/>
      <c r="H20" s="11"/>
      <c r="I20" s="10"/>
      <c r="J20" s="10"/>
      <c r="K20" s="11"/>
      <c r="L20" s="7" t="s">
        <v>48</v>
      </c>
    </row>
    <row r="22" customFormat="false" ht="15" hidden="false" customHeight="false" outlineLevel="0" collapsed="false">
      <c r="A22" s="12" t="str">
        <f aca="false">CONCATENATE("Всего позиций: ",COUNTA(B12:B20),"; листов копий: ",SUM(K12:K20))</f>
        <v>Всего позиций: 7; листов копий: 12</v>
      </c>
      <c r="B22" s="12"/>
      <c r="C22" s="12"/>
      <c r="D22" s="12"/>
      <c r="E22" s="12"/>
      <c r="F22" s="12"/>
    </row>
    <row r="24" customFormat="false" ht="15" hidden="false" customHeight="false" outlineLevel="0" collapsed="false">
      <c r="A24" s="12" t="s">
        <v>64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customFormat="false" ht="15" hidden="false" customHeight="false" outlineLevel="0" collapsed="false">
      <c r="A25" s="13" t="s">
        <v>65</v>
      </c>
      <c r="B25" s="13"/>
      <c r="C25" s="13"/>
      <c r="D25" s="13"/>
      <c r="E25" s="13"/>
      <c r="F25" s="13"/>
      <c r="G25" s="14" t="s">
        <v>66</v>
      </c>
      <c r="H25" s="14"/>
      <c r="I25" s="14"/>
      <c r="J25" s="14" t="s">
        <v>67</v>
      </c>
      <c r="K25" s="14"/>
      <c r="L25" s="14"/>
    </row>
    <row r="26" customFormat="false" ht="15" hidden="false" customHeight="false" outlineLevel="0" collapsed="false">
      <c r="G26" s="15" t="s">
        <v>68</v>
      </c>
      <c r="H26" s="15"/>
      <c r="I26" s="15"/>
    </row>
    <row r="28" customFormat="false" ht="15" hidden="false" customHeight="false" outlineLevel="0" collapsed="false">
      <c r="A28" s="12" t="s">
        <v>69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customFormat="false" ht="15" hidden="false" customHeight="false" outlineLevel="0" collapsed="false">
      <c r="A29" s="13" t="s">
        <v>70</v>
      </c>
      <c r="B29" s="13"/>
      <c r="C29" s="13"/>
      <c r="D29" s="13"/>
      <c r="E29" s="13"/>
      <c r="F29" s="13"/>
      <c r="G29" s="14" t="s">
        <v>66</v>
      </c>
      <c r="H29" s="14"/>
      <c r="I29" s="14"/>
      <c r="J29" s="14" t="s">
        <v>67</v>
      </c>
      <c r="K29" s="14"/>
      <c r="L29" s="14"/>
    </row>
    <row r="30" customFormat="false" ht="15" hidden="false" customHeight="false" outlineLevel="0" collapsed="false">
      <c r="G30" s="15" t="s">
        <v>68</v>
      </c>
      <c r="H30" s="15"/>
      <c r="I30" s="15"/>
    </row>
    <row r="32" customFormat="false" ht="30" hidden="false" customHeight="true" outlineLevel="0" collapsed="false">
      <c r="A32" s="16" t="s">
        <v>71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</sheetData>
  <mergeCells count="21">
    <mergeCell ref="A1:L1"/>
    <mergeCell ref="A2:L2"/>
    <mergeCell ref="A3:L3"/>
    <mergeCell ref="A4:L4"/>
    <mergeCell ref="A5:L5"/>
    <mergeCell ref="A7:L7"/>
    <mergeCell ref="A8:L8"/>
    <mergeCell ref="A12:L12"/>
    <mergeCell ref="A16:L16"/>
    <mergeCell ref="A22:F22"/>
    <mergeCell ref="A24:L24"/>
    <mergeCell ref="A25:F25"/>
    <mergeCell ref="G25:I25"/>
    <mergeCell ref="J25:L25"/>
    <mergeCell ref="G26:I26"/>
    <mergeCell ref="A28:L28"/>
    <mergeCell ref="A29:F29"/>
    <mergeCell ref="G29:I29"/>
    <mergeCell ref="J29:L29"/>
    <mergeCell ref="G30:I30"/>
    <mergeCell ref="A32:L3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2026-10-28T11:36:48Z</dcterms:created>
  <dc:creator>openpyxl</dc:creator>
  <dc:description/>
  <dc:language>en-US</dc:language>
  <cp:lastModifiedBy/>
  <dcterms:modified xsi:type="dcterms:W3CDTF">2026-10-28T11:36:48Z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
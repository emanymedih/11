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Ж строки" sheetId="1" state="visible" r:id="rId3"/>
    <sheet name="Итог по маркам" sheetId="2" state="visible" r:id="rId4"/>
    <sheet name="Оборудование по схемам" sheetId="3" state="visible" r:id="rId5"/>
    <sheet name="Замечания к И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<sst xmlns="http://schemas.openxmlformats.org/spreadsheetml/2006/main" count="1365" uniqueCount="415">
  <si>
    <t xml:space="preserve">№</t>
  </si>
  <si>
    <t xml:space="preserve">Система</t>
  </si>
  <si>
    <t xml:space="preserve">Лист КЖ</t>
  </si>
  <si>
    <t xml:space="preserve">Обозначение линии</t>
  </si>
  <si>
    <t xml:space="preserve">Начало</t>
  </si>
  <si>
    <t xml:space="preserve">Конец</t>
  </si>
  <si>
    <t xml:space="preserve">Тип линии</t>
  </si>
  <si>
    <t xml:space="preserve">Марка (как в КЖ)</t>
  </si>
  <si>
    <t xml:space="preserve">Жилы × сечение</t>
  </si>
  <si>
    <t xml:space="preserve">Длина, м</t>
  </si>
  <si>
    <t xml:space="preserve">Ключ марки</t>
  </si>
  <si>
    <t xml:space="preserve">СКС</t>
  </si>
  <si>
    <t xml:space="preserve">СКС7</t>
  </si>
  <si>
    <t xml:space="preserve">пп2</t>
  </si>
  <si>
    <t xml:space="preserve">XS2.1</t>
  </si>
  <si>
    <t xml:space="preserve">рабочее место</t>
  </si>
  <si>
    <t xml:space="preserve">STP-4P-Cat.6a</t>
  </si>
  <si>
    <t xml:space="preserve">4х2х0,5</t>
  </si>
  <si>
    <t xml:space="preserve">СКС8</t>
  </si>
  <si>
    <t xml:space="preserve">XS2.2</t>
  </si>
  <si>
    <t xml:space="preserve">СКС9</t>
  </si>
  <si>
    <t xml:space="preserve">XS2.3</t>
  </si>
  <si>
    <t xml:space="preserve">СКС10</t>
  </si>
  <si>
    <t xml:space="preserve">XS2.4</t>
  </si>
  <si>
    <t xml:space="preserve">СКС11</t>
  </si>
  <si>
    <t xml:space="preserve">XS2.5</t>
  </si>
  <si>
    <t xml:space="preserve">СКС12</t>
  </si>
  <si>
    <t xml:space="preserve">XS2.6</t>
  </si>
  <si>
    <t xml:space="preserve">СКС13</t>
  </si>
  <si>
    <t xml:space="preserve">XS2.7</t>
  </si>
  <si>
    <t xml:space="preserve">СКС14</t>
  </si>
  <si>
    <t xml:space="preserve">XS2.8</t>
  </si>
  <si>
    <t xml:space="preserve">СКС15</t>
  </si>
  <si>
    <t xml:space="preserve">XS2.9</t>
  </si>
  <si>
    <t xml:space="preserve">СКС16</t>
  </si>
  <si>
    <t xml:space="preserve">XS2.10</t>
  </si>
  <si>
    <t xml:space="preserve">СКС17</t>
  </si>
  <si>
    <t xml:space="preserve">XS2.11</t>
  </si>
  <si>
    <t xml:space="preserve">СКС18</t>
  </si>
  <si>
    <t xml:space="preserve">XS2.12</t>
  </si>
  <si>
    <t xml:space="preserve">СКС19</t>
  </si>
  <si>
    <t xml:space="preserve">XS2.13</t>
  </si>
  <si>
    <t xml:space="preserve">СКС20</t>
  </si>
  <si>
    <t xml:space="preserve">XS2.14</t>
  </si>
  <si>
    <t xml:space="preserve">СКС21</t>
  </si>
  <si>
    <t xml:space="preserve">XS2.15</t>
  </si>
  <si>
    <t xml:space="preserve">СКС22</t>
  </si>
  <si>
    <t xml:space="preserve">XS2.16</t>
  </si>
  <si>
    <t xml:space="preserve">СКС23</t>
  </si>
  <si>
    <t xml:space="preserve">XS2.17</t>
  </si>
  <si>
    <t xml:space="preserve">СКС24</t>
  </si>
  <si>
    <t xml:space="preserve">XS2.18</t>
  </si>
  <si>
    <t xml:space="preserve">СКС25</t>
  </si>
  <si>
    <t xml:space="preserve">XS2.19</t>
  </si>
  <si>
    <t xml:space="preserve">СКС26</t>
  </si>
  <si>
    <t xml:space="preserve">XS2.20</t>
  </si>
  <si>
    <t xml:space="preserve">СКС27</t>
  </si>
  <si>
    <t xml:space="preserve">XS2.21</t>
  </si>
  <si>
    <t xml:space="preserve">СКС28</t>
  </si>
  <si>
    <t xml:space="preserve">XS2.22</t>
  </si>
  <si>
    <t xml:space="preserve">СКС29</t>
  </si>
  <si>
    <t xml:space="preserve">XS2.23</t>
  </si>
  <si>
    <t xml:space="preserve">СКС (тлф)</t>
  </si>
  <si>
    <t xml:space="preserve">ТФ4</t>
  </si>
  <si>
    <t xml:space="preserve">X2.1</t>
  </si>
  <si>
    <t xml:space="preserve">ТА</t>
  </si>
  <si>
    <t xml:space="preserve">UTP-2P-Cat.5e</t>
  </si>
  <si>
    <t xml:space="preserve">2х2х0,5</t>
  </si>
  <si>
    <t xml:space="preserve">ТФ5</t>
  </si>
  <si>
    <t xml:space="preserve">X2.2</t>
  </si>
  <si>
    <t xml:space="preserve">ТФ6</t>
  </si>
  <si>
    <t xml:space="preserve">X2.3</t>
  </si>
  <si>
    <t xml:space="preserve">ТФ7</t>
  </si>
  <si>
    <t xml:space="preserve">X2.4</t>
  </si>
  <si>
    <t xml:space="preserve">Связь</t>
  </si>
  <si>
    <t xml:space="preserve">S20</t>
  </si>
  <si>
    <t xml:space="preserve">PL5</t>
  </si>
  <si>
    <t xml:space="preserve">PL1</t>
  </si>
  <si>
    <t xml:space="preserve">связь АБК-Осн</t>
  </si>
  <si>
    <t xml:space="preserve">ТППэп</t>
  </si>
  <si>
    <t xml:space="preserve">20х2х0,5</t>
  </si>
  <si>
    <t xml:space="preserve">S21</t>
  </si>
  <si>
    <t xml:space="preserve">PL6</t>
  </si>
  <si>
    <t xml:space="preserve">PL2</t>
  </si>
  <si>
    <t xml:space="preserve">связь КПП-Осн</t>
  </si>
  <si>
    <t xml:space="preserve">СПС</t>
  </si>
  <si>
    <t xml:space="preserve">ДПЛС2.1</t>
  </si>
  <si>
    <t xml:space="preserve">ARK2</t>
  </si>
  <si>
    <t xml:space="preserve">2BIAL1.1</t>
  </si>
  <si>
    <t xml:space="preserve">Адресная</t>
  </si>
  <si>
    <t xml:space="preserve">КПСнг(А)-FRHF</t>
  </si>
  <si>
    <t xml:space="preserve">2x2x0,75</t>
  </si>
  <si>
    <t xml:space="preserve">2BTM1.2 (37)</t>
  </si>
  <si>
    <t xml:space="preserve">2BTM1.3 (44)</t>
  </si>
  <si>
    <t xml:space="preserve">2BTH1.4 (43)</t>
  </si>
  <si>
    <t xml:space="preserve">2BTH1.5 (42)</t>
  </si>
  <si>
    <t xml:space="preserve">2BTH1.6 (46)</t>
  </si>
  <si>
    <t xml:space="preserve">2BTH1.7 (39)</t>
  </si>
  <si>
    <t xml:space="preserve">2BTH1.8 (39)</t>
  </si>
  <si>
    <t xml:space="preserve">2BTH1.9 (46)</t>
  </si>
  <si>
    <t xml:space="preserve">2BTH1.10 (39)</t>
  </si>
  <si>
    <t xml:space="preserve">2BTH1.11 (39)</t>
  </si>
  <si>
    <t xml:space="preserve">2BTH1.12 (39)</t>
  </si>
  <si>
    <t xml:space="preserve">2BIAL1.13</t>
  </si>
  <si>
    <t xml:space="preserve">2BIAL1.14</t>
  </si>
  <si>
    <t xml:space="preserve">2BTM1.15 (38)</t>
  </si>
  <si>
    <t xml:space="preserve">2BTH1.16 (40)</t>
  </si>
  <si>
    <t xml:space="preserve">2BTH1.17 (46)</t>
  </si>
  <si>
    <t xml:space="preserve">2BTH1.18 (40)</t>
  </si>
  <si>
    <t xml:space="preserve">2BTH1.19 (40)</t>
  </si>
  <si>
    <t xml:space="preserve">2BTH1.20 (40)</t>
  </si>
  <si>
    <t xml:space="preserve">2BTH1.21 (40)</t>
  </si>
  <si>
    <t xml:space="preserve">2BTH1.22 (41)</t>
  </si>
  <si>
    <t xml:space="preserve">2SC1.24..25</t>
  </si>
  <si>
    <t xml:space="preserve">2SC1.24..27</t>
  </si>
  <si>
    <t xml:space="preserve">2BTH1.23 (45)</t>
  </si>
  <si>
    <t xml:space="preserve">XD1</t>
  </si>
  <si>
    <t xml:space="preserve">2UG1.28</t>
  </si>
  <si>
    <t xml:space="preserve">СОУЭ (СПС л.3)</t>
  </si>
  <si>
    <t xml:space="preserve">V2</t>
  </si>
  <si>
    <t xml:space="preserve">AU2</t>
  </si>
  <si>
    <t xml:space="preserve">BIAD42\1.5Вт</t>
  </si>
  <si>
    <t xml:space="preserve">Оповещение речевое высокоомное</t>
  </si>
  <si>
    <t xml:space="preserve">1x2x1</t>
  </si>
  <si>
    <t xml:space="preserve">BIAD41\3Вт</t>
  </si>
  <si>
    <t xml:space="preserve">BIAD38\1.5Вт</t>
  </si>
  <si>
    <t xml:space="preserve">BIAD43\1.5Вт</t>
  </si>
  <si>
    <t xml:space="preserve">BIAD44\1.5Вт</t>
  </si>
  <si>
    <t xml:space="preserve">BIAD39\3Вт</t>
  </si>
  <si>
    <t xml:space="preserve">BIAD45\1.5Вт</t>
  </si>
  <si>
    <t xml:space="preserve">BIAD46\1.5Вт</t>
  </si>
  <si>
    <t xml:space="preserve">BIAD40\3Вт</t>
  </si>
  <si>
    <t xml:space="preserve">BIAD47\1.5Вт</t>
  </si>
  <si>
    <t xml:space="preserve">BIAD48\1.5Вт</t>
  </si>
  <si>
    <t xml:space="preserve">BIAD49\1.5Вт</t>
  </si>
  <si>
    <t xml:space="preserve">BIAD50\1.5Вт</t>
  </si>
  <si>
    <t xml:space="preserve">BIAD51\1.5Вт</t>
  </si>
  <si>
    <t xml:space="preserve">BIAD52\1.5Вт</t>
  </si>
  <si>
    <t xml:space="preserve">BIAD53\1.5Вт</t>
  </si>
  <si>
    <t xml:space="preserve">BIAD54\1.5Вт</t>
  </si>
  <si>
    <t xml:space="preserve">ST2</t>
  </si>
  <si>
    <t xml:space="preserve">UR3</t>
  </si>
  <si>
    <t xml:space="preserve">EtHeRNet</t>
  </si>
  <si>
    <t xml:space="preserve">PaRLaN ARM F/UTP Cat 5e</t>
  </si>
  <si>
    <t xml:space="preserve">4х2х0.52</t>
  </si>
  <si>
    <t xml:space="preserve">СКУД</t>
  </si>
  <si>
    <t xml:space="preserve">Д.16.1</t>
  </si>
  <si>
    <t xml:space="preserve">ARK16</t>
  </si>
  <si>
    <t xml:space="preserve">TM16.1</t>
  </si>
  <si>
    <t xml:space="preserve">считыватель</t>
  </si>
  <si>
    <t xml:space="preserve">UTP-4P-Cat.5e</t>
  </si>
  <si>
    <t xml:space="preserve">4х2x0,52</t>
  </si>
  <si>
    <t xml:space="preserve">Д.16.2</t>
  </si>
  <si>
    <t xml:space="preserve">EMH16.1</t>
  </si>
  <si>
    <t xml:space="preserve">питание замка</t>
  </si>
  <si>
    <t xml:space="preserve">Д.16.4</t>
  </si>
  <si>
    <t xml:space="preserve">TM16.2</t>
  </si>
  <si>
    <t xml:space="preserve">Д.17.1</t>
  </si>
  <si>
    <t xml:space="preserve">ARK17</t>
  </si>
  <si>
    <t xml:space="preserve">TM17.1</t>
  </si>
  <si>
    <t xml:space="preserve">Д.17.2</t>
  </si>
  <si>
    <t xml:space="preserve">EMH17.1</t>
  </si>
  <si>
    <t xml:space="preserve">Д.17.4</t>
  </si>
  <si>
    <t xml:space="preserve">TM17.2</t>
  </si>
  <si>
    <t xml:space="preserve">Д.18.1</t>
  </si>
  <si>
    <t xml:space="preserve">ARK18</t>
  </si>
  <si>
    <t xml:space="preserve">TM18.1</t>
  </si>
  <si>
    <t xml:space="preserve">Д.18.2</t>
  </si>
  <si>
    <t xml:space="preserve">EMH18.1</t>
  </si>
  <si>
    <t xml:space="preserve">Д.18.4</t>
  </si>
  <si>
    <t xml:space="preserve">TM18.2</t>
  </si>
  <si>
    <t xml:space="preserve">СОТС</t>
  </si>
  <si>
    <t xml:space="preserve">ДПЛС1.1</t>
  </si>
  <si>
    <t xml:space="preserve">ARK1</t>
  </si>
  <si>
    <t xml:space="preserve">1BGL1.1</t>
  </si>
  <si>
    <t xml:space="preserve">1x2x0,5</t>
  </si>
  <si>
    <t xml:space="preserve">1BGB1.2</t>
  </si>
  <si>
    <t xml:space="preserve">1BGA1.3</t>
  </si>
  <si>
    <t xml:space="preserve">1BGL1.4</t>
  </si>
  <si>
    <t xml:space="preserve">1BGM1.57</t>
  </si>
  <si>
    <t xml:space="preserve">1BGL1.5</t>
  </si>
  <si>
    <t xml:space="preserve">1BGM1.58</t>
  </si>
  <si>
    <t xml:space="preserve">1BGL1.6</t>
  </si>
  <si>
    <t xml:space="preserve">1BGM1.59</t>
  </si>
  <si>
    <t xml:space="preserve">1BGL1.7</t>
  </si>
  <si>
    <t xml:space="preserve">1BGM1.62</t>
  </si>
  <si>
    <t xml:space="preserve">1BGA1.9</t>
  </si>
  <si>
    <t xml:space="preserve">1BGB1.8</t>
  </si>
  <si>
    <t xml:space="preserve">1BGB1.10</t>
  </si>
  <si>
    <t xml:space="preserve">1BGL1.11</t>
  </si>
  <si>
    <t xml:space="preserve">1BGM1.61</t>
  </si>
  <si>
    <t xml:space="preserve">1BGL1.12</t>
  </si>
  <si>
    <t xml:space="preserve">1BGM1.60</t>
  </si>
  <si>
    <t xml:space="preserve">1BGL1.13</t>
  </si>
  <si>
    <t xml:space="preserve">1BGB1.14</t>
  </si>
  <si>
    <t xml:space="preserve">1BGB1.15</t>
  </si>
  <si>
    <t xml:space="preserve">1BGL1.16</t>
  </si>
  <si>
    <t xml:space="preserve">1BGM1.52</t>
  </si>
  <si>
    <t xml:space="preserve">1SC1.17..20</t>
  </si>
  <si>
    <t xml:space="preserve">1BGL1.21</t>
  </si>
  <si>
    <t xml:space="preserve">1BGB1.22</t>
  </si>
  <si>
    <t xml:space="preserve">1BGA1.23</t>
  </si>
  <si>
    <t xml:space="preserve">1BGL1.24</t>
  </si>
  <si>
    <t xml:space="preserve">1BGL1.25</t>
  </si>
  <si>
    <t xml:space="preserve">1BGM1.53</t>
  </si>
  <si>
    <t xml:space="preserve">1BIALS1.26</t>
  </si>
  <si>
    <t xml:space="preserve">1BGL1.27</t>
  </si>
  <si>
    <t xml:space="preserve">1BGB1.28</t>
  </si>
  <si>
    <t xml:space="preserve">1BGA1.29</t>
  </si>
  <si>
    <t xml:space="preserve">1BGM1.54</t>
  </si>
  <si>
    <t xml:space="preserve">1BGL1.30</t>
  </si>
  <si>
    <t xml:space="preserve">1BGB1.31</t>
  </si>
  <si>
    <t xml:space="preserve">1BGA1.32</t>
  </si>
  <si>
    <t xml:space="preserve">1BGM1.55</t>
  </si>
  <si>
    <t xml:space="preserve">1BGL1.33</t>
  </si>
  <si>
    <t xml:space="preserve">1BGB1.34</t>
  </si>
  <si>
    <t xml:space="preserve">1BGA1.35</t>
  </si>
  <si>
    <t xml:space="preserve">1BGM1.56</t>
  </si>
  <si>
    <t xml:space="preserve">1BIALS1.36</t>
  </si>
  <si>
    <t xml:space="preserve">1BGL1.37</t>
  </si>
  <si>
    <t xml:space="preserve">1BGB1.38</t>
  </si>
  <si>
    <t xml:space="preserve">1BGA1.39</t>
  </si>
  <si>
    <t xml:space="preserve">1BGM1.50</t>
  </si>
  <si>
    <t xml:space="preserve">1BGL1.40</t>
  </si>
  <si>
    <t xml:space="preserve">1SC1.41..44</t>
  </si>
  <si>
    <t xml:space="preserve">1BGB1.45</t>
  </si>
  <si>
    <t xml:space="preserve">1BGB1.46</t>
  </si>
  <si>
    <t xml:space="preserve">1BGL1.47</t>
  </si>
  <si>
    <t xml:space="preserve">1BGB1.48</t>
  </si>
  <si>
    <t xml:space="preserve">1BGA1.49</t>
  </si>
  <si>
    <t xml:space="preserve">P1</t>
  </si>
  <si>
    <t xml:space="preserve">XD10</t>
  </si>
  <si>
    <t xml:space="preserve">Питание 12-24В</t>
  </si>
  <si>
    <t xml:space="preserve">1x2x0,75</t>
  </si>
  <si>
    <t xml:space="preserve">XD9</t>
  </si>
  <si>
    <t xml:space="preserve">UG3</t>
  </si>
  <si>
    <t xml:space="preserve">СОТ</t>
  </si>
  <si>
    <t xml:space="preserve">D101</t>
  </si>
  <si>
    <t xml:space="preserve">К5</t>
  </si>
  <si>
    <t xml:space="preserve">ASU2.1.1</t>
  </si>
  <si>
    <t xml:space="preserve">видеокамера</t>
  </si>
  <si>
    <t xml:space="preserve">D102</t>
  </si>
  <si>
    <t xml:space="preserve">ASU2.1.2</t>
  </si>
  <si>
    <t xml:space="preserve">D103</t>
  </si>
  <si>
    <t xml:space="preserve">ASU2.1.3</t>
  </si>
  <si>
    <t xml:space="preserve">D104</t>
  </si>
  <si>
    <t xml:space="preserve">ASU2.1.4</t>
  </si>
  <si>
    <t xml:space="preserve">D105</t>
  </si>
  <si>
    <t xml:space="preserve">ASU2.1.5</t>
  </si>
  <si>
    <t xml:space="preserve">D106</t>
  </si>
  <si>
    <t xml:space="preserve">ASU2.1.6</t>
  </si>
  <si>
    <t xml:space="preserve">D107</t>
  </si>
  <si>
    <t xml:space="preserve">ASV2.1.7</t>
  </si>
  <si>
    <t xml:space="preserve">D108</t>
  </si>
  <si>
    <t xml:space="preserve">ASV2.1.8</t>
  </si>
  <si>
    <t xml:space="preserve">D109</t>
  </si>
  <si>
    <t xml:space="preserve">ASV2.1.9</t>
  </si>
  <si>
    <t xml:space="preserve">D110</t>
  </si>
  <si>
    <t xml:space="preserve">АРК2 (АРМ)</t>
  </si>
  <si>
    <t xml:space="preserve">АРМ</t>
  </si>
  <si>
    <t xml:space="preserve">D111</t>
  </si>
  <si>
    <t xml:space="preserve">АРК1 (АРМ)</t>
  </si>
  <si>
    <t xml:space="preserve">Итого, м</t>
  </si>
  <si>
    <t xml:space="preserve">Марка</t>
  </si>
  <si>
    <t xml:space="preserve">Системы</t>
  </si>
  <si>
    <t xml:space="preserve">Линий</t>
  </si>
  <si>
    <t xml:space="preserve">Длина по КЖ, м</t>
  </si>
  <si>
    <t xml:space="preserve">Закуплено по ETM, м (внести из реестра)</t>
  </si>
  <si>
    <t xml:space="preserve">Разница, м</t>
  </si>
  <si>
    <t xml:space="preserve">ETM-код (внести)</t>
  </si>
  <si>
    <t xml:space="preserve">Документ (внести)</t>
  </si>
  <si>
    <t xml:space="preserve">Жёлтые ячейки заполняются из реестра сертификатов и сводки ETM. Разница &lt; 0 — в КЖ проложено больше, чем закуплено: материал из другого источника или ошибка КЖ.</t>
  </si>
  <si>
    <t xml:space="preserve">Длины — сумма строк КЖ без запаса на разделку; закупка обычно больше.</t>
  </si>
  <si>
    <t xml:space="preserve">Лист ИД</t>
  </si>
  <si>
    <t xml:space="preserve">Обозначение</t>
  </si>
  <si>
    <t xml:space="preserve">Наименование по легенде</t>
  </si>
  <si>
    <t xml:space="preserve">Кол-во на схеме</t>
  </si>
  <si>
    <t xml:space="preserve">Позиции / примечание</t>
  </si>
  <si>
    <t xml:space="preserve">Закупка ETM? (внести)</t>
  </si>
  <si>
    <t xml:space="preserve">л.2</t>
  </si>
  <si>
    <t xml:space="preserve">BTH</t>
  </si>
  <si>
    <t xml:space="preserve">Извещатель пожарный дымовой ДИП-34А-04</t>
  </si>
  <si>
    <t xml:space="preserve">2BTH1.4–1.12, 1.16–1.23</t>
  </si>
  <si>
    <t xml:space="preserve">BTM</t>
  </si>
  <si>
    <t xml:space="preserve">Извещатель пожарный ручной ИПР 513-3АМ исп.01</t>
  </si>
  <si>
    <t xml:space="preserve">2BTM1.2, 1.3, 1.15</t>
  </si>
  <si>
    <t xml:space="preserve">BIAL</t>
  </si>
  <si>
    <t xml:space="preserve">Оповещатель световой С2000-ОСТ исп.01 «Выход»</t>
  </si>
  <si>
    <t xml:space="preserve">2BIAL1.1, 1.13, 1.14</t>
  </si>
  <si>
    <t xml:space="preserve">BIAS</t>
  </si>
  <si>
    <t xml:space="preserve">Оповещатель звуковой С2000-ОПЗ</t>
  </si>
  <si>
    <t xml:space="preserve">В легенде есть, на плане не обозначен</t>
  </si>
  <si>
    <t xml:space="preserve">ARK</t>
  </si>
  <si>
    <t xml:space="preserve">Контроллер С2000-КДЛ-2И исп.01</t>
  </si>
  <si>
    <t xml:space="preserve">UG</t>
  </si>
  <si>
    <t xml:space="preserve">РИП-24 исп.56</t>
  </si>
  <si>
    <t xml:space="preserve">UG2</t>
  </si>
  <si>
    <t xml:space="preserve">SC</t>
  </si>
  <si>
    <t xml:space="preserve">Адресный блок (2SC1.24..25, подпись «СП2.02»)</t>
  </si>
  <si>
    <t xml:space="preserve">Наименование в легенде не указано</t>
  </si>
  <si>
    <t xml:space="preserve">—</t>
  </si>
  <si>
    <t xml:space="preserve">Шкаф сборный RFA1</t>
  </si>
  <si>
    <t xml:space="preserve">СОУЭ</t>
  </si>
  <si>
    <t xml:space="preserve">л.3</t>
  </si>
  <si>
    <t xml:space="preserve">BIAD</t>
  </si>
  <si>
    <t xml:space="preserve">ОПР-С103.1 / ОПР-С106.1</t>
  </si>
  <si>
    <t xml:space="preserve">BIAD38–54; 3 Вт: 39, 40, 41</t>
  </si>
  <si>
    <t xml:space="preserve">AU</t>
  </si>
  <si>
    <t xml:space="preserve">Блок речевого оповещения Рупор-300</t>
  </si>
  <si>
    <t xml:space="preserve">л.4</t>
  </si>
  <si>
    <t xml:space="preserve">Контроллер доступа С2000-2</t>
  </si>
  <si>
    <t xml:space="preserve">ARK16–18</t>
  </si>
  <si>
    <t xml:space="preserve">Резервированный источник питания</t>
  </si>
  <si>
    <t xml:space="preserve">UG5</t>
  </si>
  <si>
    <t xml:space="preserve">TM/EMG/BGM/BGB</t>
  </si>
  <si>
    <t xml:space="preserve">Считыватель, замок, кнопка выхода, магнитоконтакт, доводчик</t>
  </si>
  <si>
    <t xml:space="preserve">Двери А16.1, А17.1, А18.1 (узел тип А)</t>
  </si>
  <si>
    <t xml:space="preserve">л.5</t>
  </si>
  <si>
    <t xml:space="preserve">XS</t>
  </si>
  <si>
    <t xml:space="preserve">Розетка RJ-45 в кабель-канале</t>
  </si>
  <si>
    <t xml:space="preserve">XS2.1–2.23</t>
  </si>
  <si>
    <t xml:space="preserve">X</t>
  </si>
  <si>
    <t xml:space="preserve">Розетка телефонная</t>
  </si>
  <si>
    <t xml:space="preserve">X2.1–2.4</t>
  </si>
  <si>
    <t xml:space="preserve">XR</t>
  </si>
  <si>
    <t xml:space="preserve">Шкаф телекоммуникационный 19"</t>
  </si>
  <si>
    <t xml:space="preserve">XR2</t>
  </si>
  <si>
    <t xml:space="preserve">л.6</t>
  </si>
  <si>
    <t xml:space="preserve">ASU</t>
  </si>
  <si>
    <t xml:space="preserve">Уличная видеокамера</t>
  </si>
  <si>
    <t xml:space="preserve">ASU2.1.1–2.1.6</t>
  </si>
  <si>
    <t xml:space="preserve">ASV</t>
  </si>
  <si>
    <t xml:space="preserve">Внутренняя видеокамера</t>
  </si>
  <si>
    <t xml:space="preserve">ASV2.1.7–2.1.12</t>
  </si>
  <si>
    <t xml:space="preserve">л.7</t>
  </si>
  <si>
    <t xml:space="preserve">BGL</t>
  </si>
  <si>
    <t xml:space="preserve">Извещатель охранный объёмный ИК адресный</t>
  </si>
  <si>
    <t xml:space="preserve">BGB</t>
  </si>
  <si>
    <t xml:space="preserve">Извещатель охранный магнитоуправляемый адресный</t>
  </si>
  <si>
    <t xml:space="preserve">BGM</t>
  </si>
  <si>
    <t xml:space="preserve">Кнопка тревожная</t>
  </si>
  <si>
    <t xml:space="preserve">1BGM1.50, 1.52–1.62</t>
  </si>
  <si>
    <t xml:space="preserve">BGA</t>
  </si>
  <si>
    <t xml:space="preserve">Тип в легенде не указан</t>
  </si>
  <si>
    <t xml:space="preserve">1BGA1.3, 1.9, 1.23, 1.29, 1.32, 1.35, 1.39, 1.49</t>
  </si>
  <si>
    <t xml:space="preserve">BIALS</t>
  </si>
  <si>
    <t xml:space="preserve">Оповещатель охранно-пожарный</t>
  </si>
  <si>
    <t xml:space="preserve">1BIALS1.26, 1.36 + BIALS1</t>
  </si>
  <si>
    <t xml:space="preserve">С2000-КДЛ / КДЛ-2И исп.01</t>
  </si>
  <si>
    <t xml:space="preserve">ШПС-24</t>
  </si>
  <si>
    <t xml:space="preserve">UG3 (в легенде — UG1)</t>
  </si>
  <si>
    <t xml:space="preserve">Адресный блок (СП2.02)</t>
  </si>
  <si>
    <t xml:space="preserve">1SC1.17..18, 1SC1.41..42</t>
  </si>
  <si>
    <t xml:space="preserve">Количества посчитаны по подписям на схемах вручную; это оборудование, а не материалы скрытых работ. В АОСР на прокладку идут кабели, трубы, лотки, крепёж, материалы проходок.</t>
  </si>
  <si>
    <t xml:space="preserve">Вес</t>
  </si>
  <si>
    <t xml:space="preserve">Где</t>
  </si>
  <si>
    <t xml:space="preserve">Что</t>
  </si>
  <si>
    <t xml:space="preserve">Почему важно для АОСР</t>
  </si>
  <si>
    <t xml:space="preserve">Что сделать</t>
  </si>
  <si>
    <t xml:space="preserve">Блокирует</t>
  </si>
  <si>
    <t xml:space="preserve">Оба файла</t>
  </si>
  <si>
    <t xml:space="preserve">Исполнительной документации по КПП нет. Файл «КЖ_АБК_КПП» содержит только КЖ АБК, файл «Исполняк АБК_КПП» — только схемы здания АБК, хотя общие указания и ведомость называют «АБК/КПП».</t>
  </si>
  <si>
    <t xml:space="preserve">Без ИД по КПП нельзя составить акты по КПП и сверить закупку по объектам.</t>
  </si>
  <si>
    <t xml:space="preserve">Получить ИД по КПП или подтвердить, что КПП в задачу не входит.</t>
  </si>
  <si>
    <t xml:space="preserve">КЖ л.7–8 / схема СОТ л.6</t>
  </si>
  <si>
    <t xml:space="preserve">На схеме 12 камер (ASU2.1.1–2.1.6, ASV2.1.7–2.1.12), в КЖ кабели только к 9 (D101–D109). К ASV2.1.10, 2.1.11, 2.1.12 линий нет.</t>
  </si>
  <si>
    <t xml:space="preserve">Длина кабеля СОТ в акте будет занижена; либо камеры не подключены.</t>
  </si>
  <si>
    <t xml:space="preserve">Дополнить КЖ тремя линиями с длинами или убрать камеры со схемы.</t>
  </si>
  <si>
    <t xml:space="preserve">Существенно</t>
  </si>
  <si>
    <t xml:space="preserve">КЖ л.2</t>
  </si>
  <si>
    <t xml:space="preserve">S20 (АБК—Осн., 100 м) и S21 (КПП—Осн., 200 м), ТППэп 20х2х0,5. Межзданиевые линии не показаны ни на одной схеме; S21 относится к КПП.</t>
  </si>
  <si>
    <t xml:space="preserve">Если прокладка в земле или трубах — это отдельные скрытые работы и отдельный АОСР со схемой трассы.</t>
  </si>
  <si>
    <t xml:space="preserve">Уточнить способ прокладки; добавить исполнительную схему трассы или исключить из ИД АБК.</t>
  </si>
  <si>
    <t xml:space="preserve">Схемы СПС л.2, СОТС л.7 / КЖ</t>
  </si>
  <si>
    <t xml:space="preserve">Линии RS-485 (КИС-В 2х2х0,60; КИС-РПнг(А)-FRHF 1х2х0,5: «2xRS485 в КПП», «RS485 в осн. зд.») и питание СПС (Pn) показаны в легендах, но в КЖ отсутствуют.</t>
  </si>
  <si>
    <t xml:space="preserve">Марки есть в ИД, но длин нет — в акт их не внести; при этом они могли быть закуплены.</t>
  </si>
  <si>
    <t xml:space="preserve">Дополнить КЖ или убрать из легенд.</t>
  </si>
  <si>
    <t xml:space="preserve">Схема СОТС л.7 / КЖ P1</t>
  </si>
  <si>
    <t xml:space="preserve">Питание P: в легенде КПСнг(А)-FRHF 1х2х0,5, в КЖ P1 — 1х2х0,75.</t>
  </si>
  <si>
    <t xml:space="preserve">В АОСР попадёт одна марка; документ должен совпасть с фактической.</t>
  </si>
  <si>
    <t xml:space="preserve">Определить фактическое сечение (по закупке) и исправить один из листов.</t>
  </si>
  <si>
    <t xml:space="preserve">Схемы СПС л.2 и л.3</t>
  </si>
  <si>
    <t xml:space="preserve">Pn: на л.2 — КПСнг(А)-FRHF 1х2х0,5, на л.3 — 2х2х0,75.</t>
  </si>
  <si>
    <t xml:space="preserve">Противоречие внутри одной системы.</t>
  </si>
  <si>
    <t xml:space="preserve">Оставить одну марку.</t>
  </si>
  <si>
    <t xml:space="preserve">Общие данные л.1</t>
  </si>
  <si>
    <t xml:space="preserve">Пп.1, 4, 6 и ведомость ссылаются на рабочую документацию и на «изменения относительно РД»; п.1 говорит только о пожарной сигнализации, хотя комплект содержит 5 систем; п.5 повторяет п.4.</t>
  </si>
  <si>
    <t xml:space="preserve">Противоречит договорённости «смонтировано = запроектировано» и вводит в заблуждение по составу.</t>
  </si>
  <si>
    <t xml:space="preserve">Переписать общие указания (см. ответ в чате). Решить, какой шифр ставить в п.2 АОСР.</t>
  </si>
  <si>
    <t xml:space="preserve">Уточнить</t>
  </si>
  <si>
    <t xml:space="preserve">КЖ СКУД</t>
  </si>
  <si>
    <t xml:space="preserve">У всех трёх дверей есть линии .1, .2, .4 и нет .3. На узле тип А — кнопка выхода, магнитоконтакт, доводчик; линий к ним нет.</t>
  </si>
  <si>
    <t xml:space="preserve">Возможна пропущенная линия у каждой двери.</t>
  </si>
  <si>
    <t xml:space="preserve">Подтвердить: .3 не существует или не внесена.</t>
  </si>
  <si>
    <t xml:space="preserve">Схема СОТС л.7</t>
  </si>
  <si>
    <t xml:space="preserve">Обозначение BGA (8 шт.) отсутствует в легенде; легенда называет UG1 (ШПС-24), на схеме UG3; ARKn в легенде «С2000-КДЛ», на схеме «КДЛ-2И исп.01».</t>
  </si>
  <si>
    <t xml:space="preserve">Неполная легенда исполнительной схемы.</t>
  </si>
  <si>
    <t xml:space="preserve">Дополнить легенду.</t>
  </si>
  <si>
    <t xml:space="preserve">КЖ / схемы</t>
  </si>
  <si>
    <t xml:space="preserve">Адреса блоков: схема 1SC1.17..18 и 1SC1.41..42, в КЖ 1SC1.17..20 и 1SC1.41..44; в СПС КЖ одновременно 2SC1.24..25 и 2SC1.24..27.</t>
  </si>
  <si>
    <t xml:space="preserve">Несогласованность адресов.</t>
  </si>
  <si>
    <t xml:space="preserve">Привести к одному значению.</t>
  </si>
  <si>
    <t xml:space="preserve">КЖ все листы</t>
  </si>
  <si>
    <t xml:space="preserve">Графа «проложен — Марка» пустая во всех строках.</t>
  </si>
  <si>
    <t xml:space="preserve">При «смонтировано = запроектировано» марка должна быть и в графе «проложен», иначе журнал выглядит незаполненным.</t>
  </si>
  <si>
    <t xml:space="preserve">Заполнить или упростить шапку.</t>
  </si>
  <si>
    <t xml:space="preserve">КЖ</t>
  </si>
  <si>
    <t xml:space="preserve">Одна «марка» в разных строках с разным сечением: UTP-4P-Cat.5e 4х2х0,52 (СКУД) и 4х2х0,5 (СОТ).</t>
  </si>
  <si>
    <t xml:space="preserve">Вероятно, один кабель; в акте и реестре должно быть одно наименование.</t>
  </si>
  <si>
    <t xml:space="preserve">Сверить с закупкой.</t>
  </si>
  <si>
    <t xml:space="preserve">Связь с сертификатами</t>
  </si>
  <si>
    <t xml:space="preserve">Все схемы</t>
  </si>
  <si>
    <t xml:space="preserve">Кабельные проходки отмечены на всех схемах, но тип, материал и предел огнестойкости не указаны. Это узел, к которому относится ETM 9489640 (ОГНЕЗА-ВГ).</t>
  </si>
  <si>
    <t xml:space="preserve">Акт на заделку проходок нельзя оформить без сведений об узле и применимого сертификата.</t>
  </si>
  <si>
    <t xml:space="preserve">Выяснить, через какие конструкции проходки и требуется ли EI.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</si>
</sst>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n">
        <v>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n">
        <v>7</v>
      </c>
      <c r="K2" s="2" t="str">
        <f aca="false">H2&amp;" "&amp;I2</f>
        <v>STP-4P-Cat.6a 4х2х0,5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n">
        <v>1</v>
      </c>
      <c r="D3" s="2" t="s">
        <v>18</v>
      </c>
      <c r="E3" s="2" t="s">
        <v>13</v>
      </c>
      <c r="F3" s="2" t="s">
        <v>19</v>
      </c>
      <c r="G3" s="2" t="s">
        <v>15</v>
      </c>
      <c r="H3" s="2" t="s">
        <v>16</v>
      </c>
      <c r="I3" s="2" t="s">
        <v>17</v>
      </c>
      <c r="J3" s="2" t="n">
        <v>8</v>
      </c>
      <c r="K3" s="2" t="str">
        <f aca="false">H3&amp;" "&amp;I3</f>
        <v>STP-4P-Cat.6a 4х2х0,5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n">
        <v>1</v>
      </c>
      <c r="D4" s="2" t="s">
        <v>20</v>
      </c>
      <c r="E4" s="2" t="s">
        <v>13</v>
      </c>
      <c r="F4" s="2" t="s">
        <v>21</v>
      </c>
      <c r="G4" s="2" t="s">
        <v>15</v>
      </c>
      <c r="H4" s="2" t="s">
        <v>16</v>
      </c>
      <c r="I4" s="2" t="s">
        <v>17</v>
      </c>
      <c r="J4" s="2" t="n">
        <v>8</v>
      </c>
      <c r="K4" s="2" t="str">
        <f aca="false">H4&amp;" "&amp;I4</f>
        <v>STP-4P-Cat.6a 4х2х0,5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n">
        <v>1</v>
      </c>
      <c r="D5" s="2" t="s">
        <v>22</v>
      </c>
      <c r="E5" s="2" t="s">
        <v>13</v>
      </c>
      <c r="F5" s="2" t="s">
        <v>23</v>
      </c>
      <c r="G5" s="2" t="s">
        <v>15</v>
      </c>
      <c r="H5" s="2" t="s">
        <v>16</v>
      </c>
      <c r="I5" s="2" t="s">
        <v>17</v>
      </c>
      <c r="J5" s="2" t="n">
        <v>19</v>
      </c>
      <c r="K5" s="2" t="str">
        <f aca="false">H5&amp;" "&amp;I5</f>
        <v>STP-4P-Cat.6a 4х2х0,5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n">
        <v>1</v>
      </c>
      <c r="D6" s="2" t="s">
        <v>24</v>
      </c>
      <c r="E6" s="2" t="s">
        <v>13</v>
      </c>
      <c r="F6" s="2" t="s">
        <v>25</v>
      </c>
      <c r="G6" s="2" t="s">
        <v>15</v>
      </c>
      <c r="H6" s="2" t="s">
        <v>16</v>
      </c>
      <c r="I6" s="2" t="s">
        <v>17</v>
      </c>
      <c r="J6" s="2" t="n">
        <v>20</v>
      </c>
      <c r="K6" s="2" t="str">
        <f aca="false">H6&amp;" "&amp;I6</f>
        <v>STP-4P-Cat.6a 4х2х0,5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n">
        <v>1</v>
      </c>
      <c r="D7" s="2" t="s">
        <v>26</v>
      </c>
      <c r="E7" s="2" t="s">
        <v>13</v>
      </c>
      <c r="F7" s="2" t="s">
        <v>27</v>
      </c>
      <c r="G7" s="2" t="s">
        <v>15</v>
      </c>
      <c r="H7" s="2" t="s">
        <v>16</v>
      </c>
      <c r="I7" s="2" t="s">
        <v>17</v>
      </c>
      <c r="J7" s="2" t="n">
        <v>20</v>
      </c>
      <c r="K7" s="2" t="str">
        <f aca="false">H7&amp;" "&amp;I7</f>
        <v>STP-4P-Cat.6a 4х2х0,5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n">
        <v>1</v>
      </c>
      <c r="D8" s="2" t="s">
        <v>28</v>
      </c>
      <c r="E8" s="2" t="s">
        <v>13</v>
      </c>
      <c r="F8" s="2" t="s">
        <v>29</v>
      </c>
      <c r="G8" s="2" t="s">
        <v>15</v>
      </c>
      <c r="H8" s="2" t="s">
        <v>16</v>
      </c>
      <c r="I8" s="2" t="s">
        <v>17</v>
      </c>
      <c r="J8" s="2" t="n">
        <v>22</v>
      </c>
      <c r="K8" s="2" t="str">
        <f aca="false">H8&amp;" "&amp;I8</f>
        <v>STP-4P-Cat.6a 4х2х0,5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n">
        <v>1</v>
      </c>
      <c r="D9" s="2" t="s">
        <v>30</v>
      </c>
      <c r="E9" s="2" t="s">
        <v>13</v>
      </c>
      <c r="F9" s="2" t="s">
        <v>31</v>
      </c>
      <c r="G9" s="2" t="s">
        <v>15</v>
      </c>
      <c r="H9" s="2" t="s">
        <v>16</v>
      </c>
      <c r="I9" s="2" t="s">
        <v>17</v>
      </c>
      <c r="J9" s="2" t="n">
        <v>22</v>
      </c>
      <c r="K9" s="2" t="str">
        <f aca="false">H9&amp;" "&amp;I9</f>
        <v>STP-4P-Cat.6a 4х2х0,5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n">
        <v>1</v>
      </c>
      <c r="D10" s="2" t="s">
        <v>32</v>
      </c>
      <c r="E10" s="2" t="s">
        <v>13</v>
      </c>
      <c r="F10" s="2" t="s">
        <v>33</v>
      </c>
      <c r="G10" s="2" t="s">
        <v>15</v>
      </c>
      <c r="H10" s="2" t="s">
        <v>16</v>
      </c>
      <c r="I10" s="2" t="s">
        <v>17</v>
      </c>
      <c r="J10" s="2" t="n">
        <v>25</v>
      </c>
      <c r="K10" s="2" t="str">
        <f aca="false">H10&amp;" "&amp;I10</f>
        <v>STP-4P-Cat.6a 4х2х0,5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n">
        <v>1</v>
      </c>
      <c r="D11" s="2" t="s">
        <v>34</v>
      </c>
      <c r="E11" s="2" t="s">
        <v>13</v>
      </c>
      <c r="F11" s="2" t="s">
        <v>35</v>
      </c>
      <c r="G11" s="2" t="s">
        <v>15</v>
      </c>
      <c r="H11" s="2" t="s">
        <v>16</v>
      </c>
      <c r="I11" s="2" t="s">
        <v>17</v>
      </c>
      <c r="J11" s="2" t="n">
        <v>25</v>
      </c>
      <c r="K11" s="2" t="str">
        <f aca="false">H11&amp;" "&amp;I11</f>
        <v>STP-4P-Cat.6a 4х2х0,5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n">
        <v>1</v>
      </c>
      <c r="D12" s="2" t="s">
        <v>36</v>
      </c>
      <c r="E12" s="2" t="s">
        <v>13</v>
      </c>
      <c r="F12" s="2" t="s">
        <v>37</v>
      </c>
      <c r="G12" s="2" t="s">
        <v>15</v>
      </c>
      <c r="H12" s="2" t="s">
        <v>16</v>
      </c>
      <c r="I12" s="2" t="s">
        <v>17</v>
      </c>
      <c r="J12" s="2" t="n">
        <v>27</v>
      </c>
      <c r="K12" s="2" t="str">
        <f aca="false">H12&amp;" "&amp;I12</f>
        <v>STP-4P-Cat.6a 4х2х0,5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n">
        <v>1</v>
      </c>
      <c r="D13" s="2" t="s">
        <v>38</v>
      </c>
      <c r="E13" s="2" t="s">
        <v>13</v>
      </c>
      <c r="F13" s="2" t="s">
        <v>39</v>
      </c>
      <c r="G13" s="2" t="s">
        <v>15</v>
      </c>
      <c r="H13" s="2" t="s">
        <v>16</v>
      </c>
      <c r="I13" s="2" t="s">
        <v>17</v>
      </c>
      <c r="J13" s="2" t="n">
        <v>27</v>
      </c>
      <c r="K13" s="2" t="str">
        <f aca="false">H13&amp;" "&amp;I13</f>
        <v>STP-4P-Cat.6a 4х2х0,5</v>
      </c>
    </row>
    <row r="14" customFormat="false" ht="15" hidden="false" customHeight="false" outlineLevel="0" collapsed="false">
      <c r="A14" s="2" t="n">
        <v>13</v>
      </c>
      <c r="B14" s="2" t="s">
        <v>11</v>
      </c>
      <c r="C14" s="2" t="n">
        <v>1</v>
      </c>
      <c r="D14" s="2" t="s">
        <v>40</v>
      </c>
      <c r="E14" s="2" t="s">
        <v>13</v>
      </c>
      <c r="F14" s="2" t="s">
        <v>41</v>
      </c>
      <c r="G14" s="2" t="s">
        <v>15</v>
      </c>
      <c r="H14" s="2" t="s">
        <v>16</v>
      </c>
      <c r="I14" s="2" t="s">
        <v>17</v>
      </c>
      <c r="J14" s="2" t="n">
        <v>19</v>
      </c>
      <c r="K14" s="2" t="str">
        <f aca="false">H14&amp;" "&amp;I14</f>
        <v>STP-4P-Cat.6a 4х2х0,5</v>
      </c>
    </row>
    <row r="15" customFormat="false" ht="15" hidden="false" customHeight="false" outlineLevel="0" collapsed="false">
      <c r="A15" s="2" t="n">
        <v>14</v>
      </c>
      <c r="B15" s="2" t="s">
        <v>11</v>
      </c>
      <c r="C15" s="2" t="n">
        <v>1</v>
      </c>
      <c r="D15" s="2" t="s">
        <v>42</v>
      </c>
      <c r="E15" s="2" t="s">
        <v>13</v>
      </c>
      <c r="F15" s="2" t="s">
        <v>43</v>
      </c>
      <c r="G15" s="2" t="s">
        <v>15</v>
      </c>
      <c r="H15" s="2" t="s">
        <v>16</v>
      </c>
      <c r="I15" s="2" t="s">
        <v>17</v>
      </c>
      <c r="J15" s="2" t="n">
        <v>24</v>
      </c>
      <c r="K15" s="2" t="str">
        <f aca="false">H15&amp;" "&amp;I15</f>
        <v>STP-4P-Cat.6a 4х2х0,5</v>
      </c>
    </row>
    <row r="16" customFormat="false" ht="15" hidden="false" customHeight="false" outlineLevel="0" collapsed="false">
      <c r="A16" s="2" t="n">
        <v>15</v>
      </c>
      <c r="B16" s="2" t="s">
        <v>11</v>
      </c>
      <c r="C16" s="2" t="n">
        <v>1</v>
      </c>
      <c r="D16" s="2" t="s">
        <v>44</v>
      </c>
      <c r="E16" s="2" t="s">
        <v>13</v>
      </c>
      <c r="F16" s="2" t="s">
        <v>45</v>
      </c>
      <c r="G16" s="2" t="s">
        <v>15</v>
      </c>
      <c r="H16" s="2" t="s">
        <v>16</v>
      </c>
      <c r="I16" s="2" t="s">
        <v>17</v>
      </c>
      <c r="J16" s="2" t="n">
        <v>24</v>
      </c>
      <c r="K16" s="2" t="str">
        <f aca="false">H16&amp;" "&amp;I16</f>
        <v>STP-4P-Cat.6a 4х2х0,5</v>
      </c>
    </row>
    <row r="17" customFormat="false" ht="15" hidden="false" customHeight="false" outlineLevel="0" collapsed="false">
      <c r="A17" s="2" t="n">
        <v>16</v>
      </c>
      <c r="B17" s="2" t="s">
        <v>11</v>
      </c>
      <c r="C17" s="2" t="n">
        <v>1</v>
      </c>
      <c r="D17" s="2" t="s">
        <v>46</v>
      </c>
      <c r="E17" s="2" t="s">
        <v>13</v>
      </c>
      <c r="F17" s="2" t="s">
        <v>47</v>
      </c>
      <c r="G17" s="2" t="s">
        <v>15</v>
      </c>
      <c r="H17" s="2" t="s">
        <v>16</v>
      </c>
      <c r="I17" s="2" t="s">
        <v>17</v>
      </c>
      <c r="J17" s="2" t="n">
        <v>24</v>
      </c>
      <c r="K17" s="2" t="str">
        <f aca="false">H17&amp;" "&amp;I17</f>
        <v>STP-4P-Cat.6a 4х2х0,5</v>
      </c>
    </row>
    <row r="18" customFormat="false" ht="15" hidden="false" customHeight="false" outlineLevel="0" collapsed="false">
      <c r="A18" s="2" t="n">
        <v>17</v>
      </c>
      <c r="B18" s="2" t="s">
        <v>11</v>
      </c>
      <c r="C18" s="2" t="n">
        <v>1</v>
      </c>
      <c r="D18" s="2" t="s">
        <v>48</v>
      </c>
      <c r="E18" s="2" t="s">
        <v>13</v>
      </c>
      <c r="F18" s="2" t="s">
        <v>49</v>
      </c>
      <c r="G18" s="2" t="s">
        <v>15</v>
      </c>
      <c r="H18" s="2" t="s">
        <v>16</v>
      </c>
      <c r="I18" s="2" t="s">
        <v>17</v>
      </c>
      <c r="J18" s="2" t="n">
        <v>24</v>
      </c>
      <c r="K18" s="2" t="str">
        <f aca="false">H18&amp;" "&amp;I18</f>
        <v>STP-4P-Cat.6a 4х2х0,5</v>
      </c>
    </row>
    <row r="19" customFormat="false" ht="15" hidden="false" customHeight="false" outlineLevel="0" collapsed="false">
      <c r="A19" s="2" t="n">
        <v>18</v>
      </c>
      <c r="B19" s="2" t="s">
        <v>11</v>
      </c>
      <c r="C19" s="2" t="n">
        <v>1</v>
      </c>
      <c r="D19" s="2" t="s">
        <v>50</v>
      </c>
      <c r="E19" s="2" t="s">
        <v>13</v>
      </c>
      <c r="F19" s="2" t="s">
        <v>51</v>
      </c>
      <c r="G19" s="2" t="s">
        <v>15</v>
      </c>
      <c r="H19" s="2" t="s">
        <v>16</v>
      </c>
      <c r="I19" s="2" t="s">
        <v>17</v>
      </c>
      <c r="J19" s="2" t="n">
        <v>27</v>
      </c>
      <c r="K19" s="2" t="str">
        <f aca="false">H19&amp;" "&amp;I19</f>
        <v>STP-4P-Cat.6a 4х2х0,5</v>
      </c>
    </row>
    <row r="20" customFormat="false" ht="15" hidden="false" customHeight="false" outlineLevel="0" collapsed="false">
      <c r="A20" s="2" t="n">
        <v>19</v>
      </c>
      <c r="B20" s="2" t="s">
        <v>11</v>
      </c>
      <c r="C20" s="2" t="n">
        <v>1</v>
      </c>
      <c r="D20" s="2" t="s">
        <v>52</v>
      </c>
      <c r="E20" s="2" t="s">
        <v>13</v>
      </c>
      <c r="F20" s="2" t="s">
        <v>53</v>
      </c>
      <c r="G20" s="2" t="s">
        <v>15</v>
      </c>
      <c r="H20" s="2" t="s">
        <v>16</v>
      </c>
      <c r="I20" s="2" t="s">
        <v>17</v>
      </c>
      <c r="J20" s="2" t="n">
        <v>27</v>
      </c>
      <c r="K20" s="2" t="str">
        <f aca="false">H20&amp;" "&amp;I20</f>
        <v>STP-4P-Cat.6a 4х2х0,5</v>
      </c>
    </row>
    <row r="21" customFormat="false" ht="15" hidden="false" customHeight="false" outlineLevel="0" collapsed="false">
      <c r="A21" s="2" t="n">
        <v>20</v>
      </c>
      <c r="B21" s="2" t="s">
        <v>11</v>
      </c>
      <c r="C21" s="2" t="n">
        <v>1</v>
      </c>
      <c r="D21" s="2" t="s">
        <v>54</v>
      </c>
      <c r="E21" s="2" t="s">
        <v>13</v>
      </c>
      <c r="F21" s="2" t="s">
        <v>55</v>
      </c>
      <c r="G21" s="2" t="s">
        <v>15</v>
      </c>
      <c r="H21" s="2" t="s">
        <v>16</v>
      </c>
      <c r="I21" s="2" t="s">
        <v>17</v>
      </c>
      <c r="J21" s="2" t="n">
        <v>27</v>
      </c>
      <c r="K21" s="2" t="str">
        <f aca="false">H21&amp;" "&amp;I21</f>
        <v>STP-4P-Cat.6a 4х2х0,5</v>
      </c>
    </row>
    <row r="22" customFormat="false" ht="15" hidden="false" customHeight="false" outlineLevel="0" collapsed="false">
      <c r="A22" s="2" t="n">
        <v>21</v>
      </c>
      <c r="B22" s="2" t="s">
        <v>11</v>
      </c>
      <c r="C22" s="2" t="n">
        <v>1</v>
      </c>
      <c r="D22" s="2" t="s">
        <v>56</v>
      </c>
      <c r="E22" s="2" t="s">
        <v>13</v>
      </c>
      <c r="F22" s="2" t="s">
        <v>57</v>
      </c>
      <c r="G22" s="2" t="s">
        <v>15</v>
      </c>
      <c r="H22" s="2" t="s">
        <v>16</v>
      </c>
      <c r="I22" s="2" t="s">
        <v>17</v>
      </c>
      <c r="J22" s="2" t="n">
        <v>27</v>
      </c>
      <c r="K22" s="2" t="str">
        <f aca="false">H22&amp;" "&amp;I22</f>
        <v>STP-4P-Cat.6a 4х2х0,5</v>
      </c>
    </row>
    <row r="23" customFormat="false" ht="15" hidden="false" customHeight="false" outlineLevel="0" collapsed="false">
      <c r="A23" s="2" t="n">
        <v>22</v>
      </c>
      <c r="B23" s="2" t="s">
        <v>11</v>
      </c>
      <c r="C23" s="2" t="n">
        <v>1</v>
      </c>
      <c r="D23" s="2" t="s">
        <v>58</v>
      </c>
      <c r="E23" s="2" t="s">
        <v>13</v>
      </c>
      <c r="F23" s="2" t="s">
        <v>59</v>
      </c>
      <c r="G23" s="2" t="s">
        <v>15</v>
      </c>
      <c r="H23" s="2" t="s">
        <v>16</v>
      </c>
      <c r="I23" s="2" t="s">
        <v>17</v>
      </c>
      <c r="J23" s="2" t="n">
        <v>30</v>
      </c>
      <c r="K23" s="2" t="str">
        <f aca="false">H23&amp;" "&amp;I23</f>
        <v>STP-4P-Cat.6a 4х2х0,5</v>
      </c>
    </row>
    <row r="24" customFormat="false" ht="15" hidden="false" customHeight="false" outlineLevel="0" collapsed="false">
      <c r="A24" s="2" t="n">
        <v>23</v>
      </c>
      <c r="B24" s="2" t="s">
        <v>11</v>
      </c>
      <c r="C24" s="2" t="n">
        <v>1</v>
      </c>
      <c r="D24" s="2" t="s">
        <v>60</v>
      </c>
      <c r="E24" s="2" t="s">
        <v>13</v>
      </c>
      <c r="F24" s="2" t="s">
        <v>61</v>
      </c>
      <c r="G24" s="2" t="s">
        <v>15</v>
      </c>
      <c r="H24" s="2" t="s">
        <v>16</v>
      </c>
      <c r="I24" s="2" t="s">
        <v>17</v>
      </c>
      <c r="J24" s="2" t="n">
        <v>30</v>
      </c>
      <c r="K24" s="2" t="str">
        <f aca="false">H24&amp;" "&amp;I24</f>
        <v>STP-4P-Cat.6a 4х2х0,5</v>
      </c>
    </row>
    <row r="25" customFormat="false" ht="15" hidden="false" customHeight="false" outlineLevel="0" collapsed="false">
      <c r="A25" s="2" t="n">
        <v>24</v>
      </c>
      <c r="B25" s="2" t="s">
        <v>62</v>
      </c>
      <c r="C25" s="2" t="n">
        <v>1</v>
      </c>
      <c r="D25" s="2" t="s">
        <v>63</v>
      </c>
      <c r="E25" s="2" t="s">
        <v>13</v>
      </c>
      <c r="F25" s="2" t="s">
        <v>64</v>
      </c>
      <c r="G25" s="2" t="s">
        <v>65</v>
      </c>
      <c r="H25" s="2" t="s">
        <v>66</v>
      </c>
      <c r="I25" s="2" t="s">
        <v>67</v>
      </c>
      <c r="J25" s="2" t="n">
        <v>27</v>
      </c>
      <c r="K25" s="2" t="str">
        <f aca="false">H25&amp;" "&amp;I25</f>
        <v>UTP-2P-Cat.5e 2х2х0,5</v>
      </c>
    </row>
    <row r="26" customFormat="false" ht="15" hidden="false" customHeight="false" outlineLevel="0" collapsed="false">
      <c r="A26" s="2" t="n">
        <v>25</v>
      </c>
      <c r="B26" s="2" t="s">
        <v>62</v>
      </c>
      <c r="C26" s="2" t="n">
        <v>1</v>
      </c>
      <c r="D26" s="2" t="s">
        <v>68</v>
      </c>
      <c r="E26" s="2" t="s">
        <v>13</v>
      </c>
      <c r="F26" s="2" t="s">
        <v>69</v>
      </c>
      <c r="G26" s="2" t="s">
        <v>65</v>
      </c>
      <c r="H26" s="2" t="s">
        <v>66</v>
      </c>
      <c r="I26" s="2" t="s">
        <v>67</v>
      </c>
      <c r="J26" s="2" t="n">
        <v>19</v>
      </c>
      <c r="K26" s="2" t="str">
        <f aca="false">H26&amp;" "&amp;I26</f>
        <v>UTP-2P-Cat.5e 2х2х0,5</v>
      </c>
    </row>
    <row r="27" customFormat="false" ht="15" hidden="false" customHeight="false" outlineLevel="0" collapsed="false">
      <c r="A27" s="2" t="n">
        <v>26</v>
      </c>
      <c r="B27" s="2" t="s">
        <v>62</v>
      </c>
      <c r="C27" s="2" t="n">
        <v>1</v>
      </c>
      <c r="D27" s="2" t="s">
        <v>70</v>
      </c>
      <c r="E27" s="2" t="s">
        <v>13</v>
      </c>
      <c r="F27" s="2" t="s">
        <v>71</v>
      </c>
      <c r="G27" s="2" t="s">
        <v>65</v>
      </c>
      <c r="H27" s="2" t="s">
        <v>66</v>
      </c>
      <c r="I27" s="2" t="s">
        <v>67</v>
      </c>
      <c r="J27" s="2" t="n">
        <v>19</v>
      </c>
      <c r="K27" s="2" t="str">
        <f aca="false">H27&amp;" "&amp;I27</f>
        <v>UTP-2P-Cat.5e 2х2х0,5</v>
      </c>
    </row>
    <row r="28" customFormat="false" ht="15" hidden="false" customHeight="false" outlineLevel="0" collapsed="false">
      <c r="A28" s="2" t="n">
        <v>27</v>
      </c>
      <c r="B28" s="2" t="s">
        <v>62</v>
      </c>
      <c r="C28" s="2" t="n">
        <v>1</v>
      </c>
      <c r="D28" s="2" t="s">
        <v>72</v>
      </c>
      <c r="E28" s="2" t="s">
        <v>13</v>
      </c>
      <c r="F28" s="2" t="s">
        <v>73</v>
      </c>
      <c r="G28" s="2" t="s">
        <v>65</v>
      </c>
      <c r="H28" s="2" t="s">
        <v>66</v>
      </c>
      <c r="I28" s="2" t="s">
        <v>67</v>
      </c>
      <c r="J28" s="2" t="n">
        <v>30</v>
      </c>
      <c r="K28" s="2" t="str">
        <f aca="false">H28&amp;" "&amp;I28</f>
        <v>UTP-2P-Cat.5e 2х2х0,5</v>
      </c>
    </row>
    <row r="29" customFormat="false" ht="15" hidden="false" customHeight="false" outlineLevel="0" collapsed="false">
      <c r="A29" s="2" t="n">
        <v>28</v>
      </c>
      <c r="B29" s="2" t="s">
        <v>74</v>
      </c>
      <c r="C29" s="2" t="n">
        <v>2</v>
      </c>
      <c r="D29" s="2" t="s">
        <v>75</v>
      </c>
      <c r="E29" s="2" t="s">
        <v>76</v>
      </c>
      <c r="F29" s="2" t="s">
        <v>77</v>
      </c>
      <c r="G29" s="2" t="s">
        <v>78</v>
      </c>
      <c r="H29" s="2" t="s">
        <v>79</v>
      </c>
      <c r="I29" s="2" t="s">
        <v>80</v>
      </c>
      <c r="J29" s="2" t="n">
        <v>100</v>
      </c>
      <c r="K29" s="2" t="str">
        <f aca="false">H29&amp;" "&amp;I29</f>
        <v>ТППэп 20х2х0,5</v>
      </c>
    </row>
    <row r="30" customFormat="false" ht="15" hidden="false" customHeight="false" outlineLevel="0" collapsed="false">
      <c r="A30" s="2" t="n">
        <v>29</v>
      </c>
      <c r="B30" s="2" t="s">
        <v>74</v>
      </c>
      <c r="C30" s="2" t="n">
        <v>2</v>
      </c>
      <c r="D30" s="2" t="s">
        <v>81</v>
      </c>
      <c r="E30" s="2" t="s">
        <v>82</v>
      </c>
      <c r="F30" s="2" t="s">
        <v>83</v>
      </c>
      <c r="G30" s="2" t="s">
        <v>84</v>
      </c>
      <c r="H30" s="2" t="s">
        <v>79</v>
      </c>
      <c r="I30" s="2" t="s">
        <v>80</v>
      </c>
      <c r="J30" s="2" t="n">
        <v>200</v>
      </c>
      <c r="K30" s="2" t="str">
        <f aca="false">H30&amp;" "&amp;I30</f>
        <v>ТППэп 20х2х0,5</v>
      </c>
    </row>
    <row r="31" customFormat="false" ht="15" hidden="false" customHeight="false" outlineLevel="0" collapsed="false">
      <c r="A31" s="2" t="n">
        <v>30</v>
      </c>
      <c r="B31" s="2" t="s">
        <v>85</v>
      </c>
      <c r="C31" s="2" t="n">
        <v>2</v>
      </c>
      <c r="D31" s="2" t="s">
        <v>86</v>
      </c>
      <c r="E31" s="2" t="s">
        <v>87</v>
      </c>
      <c r="F31" s="2" t="s">
        <v>88</v>
      </c>
      <c r="G31" s="2" t="s">
        <v>89</v>
      </c>
      <c r="H31" s="2" t="s">
        <v>90</v>
      </c>
      <c r="I31" s="2" t="s">
        <v>91</v>
      </c>
      <c r="J31" s="2" t="n">
        <v>3.1</v>
      </c>
      <c r="K31" s="2" t="str">
        <f aca="false">H31&amp;" "&amp;I31</f>
        <v>КПСнг(А)-FRHF 2x2x0,75</v>
      </c>
    </row>
    <row r="32" customFormat="false" ht="15" hidden="false" customHeight="false" outlineLevel="0" collapsed="false">
      <c r="A32" s="2" t="n">
        <v>31</v>
      </c>
      <c r="B32" s="2" t="s">
        <v>85</v>
      </c>
      <c r="C32" s="2" t="n">
        <v>2</v>
      </c>
      <c r="D32" s="2" t="s">
        <v>86</v>
      </c>
      <c r="E32" s="2" t="s">
        <v>88</v>
      </c>
      <c r="F32" s="2" t="s">
        <v>92</v>
      </c>
      <c r="G32" s="2" t="s">
        <v>89</v>
      </c>
      <c r="H32" s="2" t="s">
        <v>90</v>
      </c>
      <c r="I32" s="2" t="s">
        <v>91</v>
      </c>
      <c r="J32" s="2" t="n">
        <v>1.9</v>
      </c>
      <c r="K32" s="2" t="str">
        <f aca="false">H32&amp;" "&amp;I32</f>
        <v>КПСнг(А)-FRHF 2x2x0,75</v>
      </c>
    </row>
    <row r="33" customFormat="false" ht="15" hidden="false" customHeight="false" outlineLevel="0" collapsed="false">
      <c r="A33" s="2" t="n">
        <v>32</v>
      </c>
      <c r="B33" s="2" t="s">
        <v>85</v>
      </c>
      <c r="C33" s="2" t="n">
        <v>2</v>
      </c>
      <c r="D33" s="2" t="s">
        <v>86</v>
      </c>
      <c r="E33" s="2" t="s">
        <v>92</v>
      </c>
      <c r="F33" s="2" t="s">
        <v>93</v>
      </c>
      <c r="G33" s="2" t="s">
        <v>89</v>
      </c>
      <c r="H33" s="2" t="s">
        <v>90</v>
      </c>
      <c r="I33" s="2" t="s">
        <v>91</v>
      </c>
      <c r="J33" s="2" t="n">
        <v>10.8</v>
      </c>
      <c r="K33" s="2" t="str">
        <f aca="false">H33&amp;" "&amp;I33</f>
        <v>КПСнг(А)-FRHF 2x2x0,75</v>
      </c>
    </row>
    <row r="34" customFormat="false" ht="15" hidden="false" customHeight="false" outlineLevel="0" collapsed="false">
      <c r="A34" s="2" t="n">
        <v>33</v>
      </c>
      <c r="B34" s="2" t="s">
        <v>85</v>
      </c>
      <c r="C34" s="2" t="n">
        <v>2</v>
      </c>
      <c r="D34" s="2" t="s">
        <v>86</v>
      </c>
      <c r="E34" s="2" t="s">
        <v>93</v>
      </c>
      <c r="F34" s="2" t="s">
        <v>94</v>
      </c>
      <c r="G34" s="2" t="s">
        <v>89</v>
      </c>
      <c r="H34" s="2" t="s">
        <v>90</v>
      </c>
      <c r="I34" s="2" t="s">
        <v>91</v>
      </c>
      <c r="J34" s="2" t="n">
        <v>1.9</v>
      </c>
      <c r="K34" s="2" t="str">
        <f aca="false">H34&amp;" "&amp;I34</f>
        <v>КПСнг(А)-FRHF 2x2x0,75</v>
      </c>
    </row>
    <row r="35" customFormat="false" ht="15" hidden="false" customHeight="false" outlineLevel="0" collapsed="false">
      <c r="A35" s="2" t="n">
        <v>34</v>
      </c>
      <c r="B35" s="2" t="s">
        <v>85</v>
      </c>
      <c r="C35" s="2" t="n">
        <v>2</v>
      </c>
      <c r="D35" s="2" t="s">
        <v>86</v>
      </c>
      <c r="E35" s="2" t="s">
        <v>94</v>
      </c>
      <c r="F35" s="2" t="s">
        <v>95</v>
      </c>
      <c r="G35" s="2" t="s">
        <v>89</v>
      </c>
      <c r="H35" s="2" t="s">
        <v>90</v>
      </c>
      <c r="I35" s="2" t="s">
        <v>91</v>
      </c>
      <c r="J35" s="2" t="n">
        <v>3.9</v>
      </c>
      <c r="K35" s="2" t="str">
        <f aca="false">H35&amp;" "&amp;I35</f>
        <v>КПСнг(А)-FRHF 2x2x0,75</v>
      </c>
    </row>
    <row r="36" customFormat="false" ht="15" hidden="false" customHeight="false" outlineLevel="0" collapsed="false">
      <c r="A36" s="2" t="n">
        <v>35</v>
      </c>
      <c r="B36" s="2" t="s">
        <v>85</v>
      </c>
      <c r="C36" s="2" t="n">
        <v>2</v>
      </c>
      <c r="D36" s="2" t="s">
        <v>86</v>
      </c>
      <c r="E36" s="2" t="s">
        <v>95</v>
      </c>
      <c r="F36" s="2" t="s">
        <v>96</v>
      </c>
      <c r="G36" s="2" t="s">
        <v>89</v>
      </c>
      <c r="H36" s="2" t="s">
        <v>90</v>
      </c>
      <c r="I36" s="2" t="s">
        <v>91</v>
      </c>
      <c r="J36" s="2" t="n">
        <v>4.6</v>
      </c>
      <c r="K36" s="2" t="str">
        <f aca="false">H36&amp;" "&amp;I36</f>
        <v>КПСнг(А)-FRHF 2x2x0,75</v>
      </c>
    </row>
    <row r="37" customFormat="false" ht="15" hidden="false" customHeight="false" outlineLevel="0" collapsed="false">
      <c r="A37" s="2" t="n">
        <v>36</v>
      </c>
      <c r="B37" s="2" t="s">
        <v>85</v>
      </c>
      <c r="C37" s="2" t="n">
        <v>2</v>
      </c>
      <c r="D37" s="2" t="s">
        <v>86</v>
      </c>
      <c r="E37" s="2" t="s">
        <v>96</v>
      </c>
      <c r="F37" s="2" t="s">
        <v>97</v>
      </c>
      <c r="G37" s="2" t="s">
        <v>89</v>
      </c>
      <c r="H37" s="2" t="s">
        <v>90</v>
      </c>
      <c r="I37" s="2" t="s">
        <v>91</v>
      </c>
      <c r="J37" s="2" t="n">
        <v>7.4</v>
      </c>
      <c r="K37" s="2" t="str">
        <f aca="false">H37&amp;" "&amp;I37</f>
        <v>КПСнг(А)-FRHF 2x2x0,75</v>
      </c>
    </row>
    <row r="38" customFormat="false" ht="15" hidden="false" customHeight="false" outlineLevel="0" collapsed="false">
      <c r="A38" s="2" t="n">
        <v>37</v>
      </c>
      <c r="B38" s="2" t="s">
        <v>85</v>
      </c>
      <c r="C38" s="2" t="n">
        <v>2</v>
      </c>
      <c r="D38" s="2" t="s">
        <v>86</v>
      </c>
      <c r="E38" s="2" t="s">
        <v>97</v>
      </c>
      <c r="F38" s="2" t="s">
        <v>98</v>
      </c>
      <c r="G38" s="2" t="s">
        <v>89</v>
      </c>
      <c r="H38" s="2" t="s">
        <v>90</v>
      </c>
      <c r="I38" s="2" t="s">
        <v>91</v>
      </c>
      <c r="J38" s="2" t="n">
        <v>10.1</v>
      </c>
      <c r="K38" s="2" t="str">
        <f aca="false">H38&amp;" "&amp;I38</f>
        <v>КПСнг(А)-FRHF 2x2x0,75</v>
      </c>
    </row>
    <row r="39" customFormat="false" ht="15" hidden="false" customHeight="false" outlineLevel="0" collapsed="false">
      <c r="A39" s="2" t="n">
        <v>38</v>
      </c>
      <c r="B39" s="2" t="s">
        <v>85</v>
      </c>
      <c r="C39" s="2" t="n">
        <v>2</v>
      </c>
      <c r="D39" s="2" t="s">
        <v>86</v>
      </c>
      <c r="E39" s="2" t="s">
        <v>98</v>
      </c>
      <c r="F39" s="2" t="s">
        <v>99</v>
      </c>
      <c r="G39" s="2" t="s">
        <v>89</v>
      </c>
      <c r="H39" s="2" t="s">
        <v>90</v>
      </c>
      <c r="I39" s="2" t="s">
        <v>91</v>
      </c>
      <c r="J39" s="2" t="n">
        <v>6.1</v>
      </c>
      <c r="K39" s="2" t="str">
        <f aca="false">H39&amp;" "&amp;I39</f>
        <v>КПСнг(А)-FRHF 2x2x0,75</v>
      </c>
    </row>
    <row r="40" customFormat="false" ht="15" hidden="false" customHeight="false" outlineLevel="0" collapsed="false">
      <c r="A40" s="2" t="n">
        <v>39</v>
      </c>
      <c r="B40" s="2" t="s">
        <v>85</v>
      </c>
      <c r="C40" s="2" t="n">
        <v>2</v>
      </c>
      <c r="D40" s="2" t="s">
        <v>86</v>
      </c>
      <c r="E40" s="2" t="s">
        <v>99</v>
      </c>
      <c r="F40" s="2" t="s">
        <v>100</v>
      </c>
      <c r="G40" s="2" t="s">
        <v>89</v>
      </c>
      <c r="H40" s="2" t="s">
        <v>90</v>
      </c>
      <c r="I40" s="2" t="s">
        <v>91</v>
      </c>
      <c r="J40" s="2" t="n">
        <v>6.5</v>
      </c>
      <c r="K40" s="2" t="str">
        <f aca="false">H40&amp;" "&amp;I40</f>
        <v>КПСнг(А)-FRHF 2x2x0,75</v>
      </c>
    </row>
    <row r="41" customFormat="false" ht="15" hidden="false" customHeight="false" outlineLevel="0" collapsed="false">
      <c r="A41" s="2" t="n">
        <v>40</v>
      </c>
      <c r="B41" s="2" t="s">
        <v>85</v>
      </c>
      <c r="C41" s="2" t="n">
        <v>2</v>
      </c>
      <c r="D41" s="2" t="s">
        <v>86</v>
      </c>
      <c r="E41" s="2" t="s">
        <v>100</v>
      </c>
      <c r="F41" s="2" t="s">
        <v>101</v>
      </c>
      <c r="G41" s="2" t="s">
        <v>89</v>
      </c>
      <c r="H41" s="2" t="s">
        <v>90</v>
      </c>
      <c r="I41" s="2" t="s">
        <v>91</v>
      </c>
      <c r="J41" s="2" t="n">
        <v>9.7</v>
      </c>
      <c r="K41" s="2" t="str">
        <f aca="false">H41&amp;" "&amp;I41</f>
        <v>КПСнг(А)-FRHF 2x2x0,75</v>
      </c>
    </row>
    <row r="42" customFormat="false" ht="15" hidden="false" customHeight="false" outlineLevel="0" collapsed="false">
      <c r="A42" s="2" t="n">
        <v>41</v>
      </c>
      <c r="B42" s="2" t="s">
        <v>85</v>
      </c>
      <c r="C42" s="2" t="n">
        <v>2</v>
      </c>
      <c r="D42" s="2" t="s">
        <v>86</v>
      </c>
      <c r="E42" s="2" t="s">
        <v>101</v>
      </c>
      <c r="F42" s="2" t="s">
        <v>102</v>
      </c>
      <c r="G42" s="2" t="s">
        <v>89</v>
      </c>
      <c r="H42" s="2" t="s">
        <v>90</v>
      </c>
      <c r="I42" s="2" t="s">
        <v>91</v>
      </c>
      <c r="J42" s="2" t="n">
        <v>10.4</v>
      </c>
      <c r="K42" s="2" t="str">
        <f aca="false">H42&amp;" "&amp;I42</f>
        <v>КПСнг(А)-FRHF 2x2x0,75</v>
      </c>
    </row>
    <row r="43" customFormat="false" ht="15" hidden="false" customHeight="false" outlineLevel="0" collapsed="false">
      <c r="A43" s="2" t="n">
        <v>42</v>
      </c>
      <c r="B43" s="2" t="s">
        <v>85</v>
      </c>
      <c r="C43" s="2" t="n">
        <v>2</v>
      </c>
      <c r="D43" s="2" t="s">
        <v>86</v>
      </c>
      <c r="E43" s="2" t="s">
        <v>102</v>
      </c>
      <c r="F43" s="2" t="s">
        <v>103</v>
      </c>
      <c r="G43" s="2" t="s">
        <v>89</v>
      </c>
      <c r="H43" s="2" t="s">
        <v>90</v>
      </c>
      <c r="I43" s="2" t="s">
        <v>91</v>
      </c>
      <c r="J43" s="2" t="n">
        <v>7.3</v>
      </c>
      <c r="K43" s="2" t="str">
        <f aca="false">H43&amp;" "&amp;I43</f>
        <v>КПСнг(А)-FRHF 2x2x0,75</v>
      </c>
    </row>
    <row r="44" customFormat="false" ht="15" hidden="false" customHeight="false" outlineLevel="0" collapsed="false">
      <c r="A44" s="2" t="n">
        <v>43</v>
      </c>
      <c r="B44" s="2" t="s">
        <v>85</v>
      </c>
      <c r="C44" s="2" t="n">
        <v>2</v>
      </c>
      <c r="D44" s="2" t="s">
        <v>86</v>
      </c>
      <c r="E44" s="2" t="s">
        <v>103</v>
      </c>
      <c r="F44" s="2" t="s">
        <v>104</v>
      </c>
      <c r="G44" s="2" t="s">
        <v>89</v>
      </c>
      <c r="H44" s="2" t="s">
        <v>90</v>
      </c>
      <c r="I44" s="2" t="s">
        <v>91</v>
      </c>
      <c r="J44" s="2" t="n">
        <v>3.7</v>
      </c>
      <c r="K44" s="2" t="str">
        <f aca="false">H44&amp;" "&amp;I44</f>
        <v>КПСнг(А)-FRHF 2x2x0,75</v>
      </c>
    </row>
    <row r="45" customFormat="false" ht="15" hidden="false" customHeight="false" outlineLevel="0" collapsed="false">
      <c r="A45" s="2" t="n">
        <v>44</v>
      </c>
      <c r="B45" s="2" t="s">
        <v>85</v>
      </c>
      <c r="C45" s="2" t="n">
        <v>2</v>
      </c>
      <c r="D45" s="2" t="s">
        <v>86</v>
      </c>
      <c r="E45" s="2" t="s">
        <v>104</v>
      </c>
      <c r="F45" s="2" t="s">
        <v>105</v>
      </c>
      <c r="G45" s="2" t="s">
        <v>89</v>
      </c>
      <c r="H45" s="2" t="s">
        <v>90</v>
      </c>
      <c r="I45" s="2" t="s">
        <v>91</v>
      </c>
      <c r="J45" s="2" t="n">
        <v>2.1</v>
      </c>
      <c r="K45" s="2" t="str">
        <f aca="false">H45&amp;" "&amp;I45</f>
        <v>КПСнг(А)-FRHF 2x2x0,75</v>
      </c>
    </row>
    <row r="46" customFormat="false" ht="15" hidden="false" customHeight="false" outlineLevel="0" collapsed="false">
      <c r="A46" s="2" t="n">
        <v>45</v>
      </c>
      <c r="B46" s="2" t="s">
        <v>85</v>
      </c>
      <c r="C46" s="2" t="n">
        <v>3</v>
      </c>
      <c r="D46" s="2" t="s">
        <v>86</v>
      </c>
      <c r="E46" s="2" t="s">
        <v>105</v>
      </c>
      <c r="F46" s="2" t="s">
        <v>106</v>
      </c>
      <c r="G46" s="2" t="s">
        <v>89</v>
      </c>
      <c r="H46" s="2" t="s">
        <v>90</v>
      </c>
      <c r="I46" s="2" t="s">
        <v>91</v>
      </c>
      <c r="J46" s="2" t="n">
        <v>3.7</v>
      </c>
      <c r="K46" s="2" t="str">
        <f aca="false">H46&amp;" "&amp;I46</f>
        <v>КПСнг(А)-FRHF 2x2x0,75</v>
      </c>
    </row>
    <row r="47" customFormat="false" ht="15" hidden="false" customHeight="false" outlineLevel="0" collapsed="false">
      <c r="A47" s="2" t="n">
        <v>46</v>
      </c>
      <c r="B47" s="2" t="s">
        <v>85</v>
      </c>
      <c r="C47" s="2" t="n">
        <v>3</v>
      </c>
      <c r="D47" s="2" t="s">
        <v>86</v>
      </c>
      <c r="E47" s="2" t="s">
        <v>106</v>
      </c>
      <c r="F47" s="2" t="s">
        <v>107</v>
      </c>
      <c r="G47" s="2" t="s">
        <v>89</v>
      </c>
      <c r="H47" s="2" t="s">
        <v>90</v>
      </c>
      <c r="I47" s="2" t="s">
        <v>91</v>
      </c>
      <c r="J47" s="2" t="n">
        <v>6.6</v>
      </c>
      <c r="K47" s="2" t="str">
        <f aca="false">H47&amp;" "&amp;I47</f>
        <v>КПСнг(А)-FRHF 2x2x0,75</v>
      </c>
    </row>
    <row r="48" customFormat="false" ht="15" hidden="false" customHeight="false" outlineLevel="0" collapsed="false">
      <c r="A48" s="2" t="n">
        <v>47</v>
      </c>
      <c r="B48" s="2" t="s">
        <v>85</v>
      </c>
      <c r="C48" s="2" t="n">
        <v>3</v>
      </c>
      <c r="D48" s="2" t="s">
        <v>86</v>
      </c>
      <c r="E48" s="2" t="s">
        <v>107</v>
      </c>
      <c r="F48" s="2" t="s">
        <v>108</v>
      </c>
      <c r="G48" s="2" t="s">
        <v>89</v>
      </c>
      <c r="H48" s="2" t="s">
        <v>90</v>
      </c>
      <c r="I48" s="2" t="s">
        <v>91</v>
      </c>
      <c r="J48" s="2" t="n">
        <v>4.2</v>
      </c>
      <c r="K48" s="2" t="str">
        <f aca="false">H48&amp;" "&amp;I48</f>
        <v>КПСнг(А)-FRHF 2x2x0,75</v>
      </c>
    </row>
    <row r="49" customFormat="false" ht="15" hidden="false" customHeight="false" outlineLevel="0" collapsed="false">
      <c r="A49" s="2" t="n">
        <v>48</v>
      </c>
      <c r="B49" s="2" t="s">
        <v>85</v>
      </c>
      <c r="C49" s="2" t="n">
        <v>3</v>
      </c>
      <c r="D49" s="2" t="s">
        <v>86</v>
      </c>
      <c r="E49" s="2" t="s">
        <v>108</v>
      </c>
      <c r="F49" s="2" t="s">
        <v>109</v>
      </c>
      <c r="G49" s="2" t="s">
        <v>89</v>
      </c>
      <c r="H49" s="2" t="s">
        <v>90</v>
      </c>
      <c r="I49" s="2" t="s">
        <v>91</v>
      </c>
      <c r="J49" s="2" t="n">
        <v>8.6</v>
      </c>
      <c r="K49" s="2" t="str">
        <f aca="false">H49&amp;" "&amp;I49</f>
        <v>КПСнг(А)-FRHF 2x2x0,75</v>
      </c>
    </row>
    <row r="50" customFormat="false" ht="15" hidden="false" customHeight="false" outlineLevel="0" collapsed="false">
      <c r="A50" s="2" t="n">
        <v>49</v>
      </c>
      <c r="B50" s="2" t="s">
        <v>85</v>
      </c>
      <c r="C50" s="2" t="n">
        <v>3</v>
      </c>
      <c r="D50" s="2" t="s">
        <v>86</v>
      </c>
      <c r="E50" s="2" t="s">
        <v>109</v>
      </c>
      <c r="F50" s="2" t="s">
        <v>110</v>
      </c>
      <c r="G50" s="2" t="s">
        <v>89</v>
      </c>
      <c r="H50" s="2" t="s">
        <v>90</v>
      </c>
      <c r="I50" s="2" t="s">
        <v>91</v>
      </c>
      <c r="J50" s="2" t="n">
        <v>8.4</v>
      </c>
      <c r="K50" s="2" t="str">
        <f aca="false">H50&amp;" "&amp;I50</f>
        <v>КПСнг(А)-FRHF 2x2x0,75</v>
      </c>
    </row>
    <row r="51" customFormat="false" ht="15" hidden="false" customHeight="false" outlineLevel="0" collapsed="false">
      <c r="A51" s="2" t="n">
        <v>50</v>
      </c>
      <c r="B51" s="2" t="s">
        <v>85</v>
      </c>
      <c r="C51" s="2" t="n">
        <v>3</v>
      </c>
      <c r="D51" s="2" t="s">
        <v>86</v>
      </c>
      <c r="E51" s="2" t="s">
        <v>110</v>
      </c>
      <c r="F51" s="2" t="s">
        <v>111</v>
      </c>
      <c r="G51" s="2" t="s">
        <v>89</v>
      </c>
      <c r="H51" s="2" t="s">
        <v>90</v>
      </c>
      <c r="I51" s="2" t="s">
        <v>91</v>
      </c>
      <c r="J51" s="2" t="n">
        <v>7.2</v>
      </c>
      <c r="K51" s="2" t="str">
        <f aca="false">H51&amp;" "&amp;I51</f>
        <v>КПСнг(А)-FRHF 2x2x0,75</v>
      </c>
    </row>
    <row r="52" customFormat="false" ht="15" hidden="false" customHeight="false" outlineLevel="0" collapsed="false">
      <c r="A52" s="2" t="n">
        <v>51</v>
      </c>
      <c r="B52" s="2" t="s">
        <v>85</v>
      </c>
      <c r="C52" s="2" t="n">
        <v>3</v>
      </c>
      <c r="D52" s="2" t="s">
        <v>86</v>
      </c>
      <c r="E52" s="2" t="s">
        <v>111</v>
      </c>
      <c r="F52" s="2" t="s">
        <v>112</v>
      </c>
      <c r="G52" s="2" t="s">
        <v>89</v>
      </c>
      <c r="H52" s="2" t="s">
        <v>90</v>
      </c>
      <c r="I52" s="2" t="s">
        <v>91</v>
      </c>
      <c r="J52" s="2" t="n">
        <v>8.8</v>
      </c>
      <c r="K52" s="2" t="str">
        <f aca="false">H52&amp;" "&amp;I52</f>
        <v>КПСнг(А)-FRHF 2x2x0,75</v>
      </c>
    </row>
    <row r="53" customFormat="false" ht="15" hidden="false" customHeight="false" outlineLevel="0" collapsed="false">
      <c r="A53" s="2" t="n">
        <v>52</v>
      </c>
      <c r="B53" s="2" t="s">
        <v>85</v>
      </c>
      <c r="C53" s="2" t="n">
        <v>3</v>
      </c>
      <c r="D53" s="2" t="s">
        <v>86</v>
      </c>
      <c r="E53" s="2" t="s">
        <v>112</v>
      </c>
      <c r="F53" s="2" t="s">
        <v>113</v>
      </c>
      <c r="G53" s="2" t="s">
        <v>89</v>
      </c>
      <c r="H53" s="2" t="s">
        <v>90</v>
      </c>
      <c r="I53" s="2" t="s">
        <v>91</v>
      </c>
      <c r="J53" s="2" t="n">
        <v>7</v>
      </c>
      <c r="K53" s="2" t="str">
        <f aca="false">H53&amp;" "&amp;I53</f>
        <v>КПСнг(А)-FRHF 2x2x0,75</v>
      </c>
    </row>
    <row r="54" customFormat="false" ht="15" hidden="false" customHeight="false" outlineLevel="0" collapsed="false">
      <c r="A54" s="2" t="n">
        <v>53</v>
      </c>
      <c r="B54" s="2" t="s">
        <v>85</v>
      </c>
      <c r="C54" s="2" t="n">
        <v>3</v>
      </c>
      <c r="D54" s="2" t="s">
        <v>86</v>
      </c>
      <c r="E54" s="2" t="s">
        <v>114</v>
      </c>
      <c r="F54" s="2" t="s">
        <v>115</v>
      </c>
      <c r="G54" s="2" t="s">
        <v>89</v>
      </c>
      <c r="H54" s="2" t="s">
        <v>90</v>
      </c>
      <c r="I54" s="2" t="s">
        <v>91</v>
      </c>
      <c r="J54" s="2" t="n">
        <v>2.7</v>
      </c>
      <c r="K54" s="2" t="str">
        <f aca="false">H54&amp;" "&amp;I54</f>
        <v>КПСнг(А)-FRHF 2x2x0,75</v>
      </c>
    </row>
    <row r="55" customFormat="false" ht="15" hidden="false" customHeight="false" outlineLevel="0" collapsed="false">
      <c r="A55" s="2" t="n">
        <v>54</v>
      </c>
      <c r="B55" s="2" t="s">
        <v>85</v>
      </c>
      <c r="C55" s="2" t="n">
        <v>3</v>
      </c>
      <c r="D55" s="2" t="s">
        <v>86</v>
      </c>
      <c r="E55" s="2" t="s">
        <v>115</v>
      </c>
      <c r="F55" s="2" t="s">
        <v>116</v>
      </c>
      <c r="G55" s="2" t="s">
        <v>89</v>
      </c>
      <c r="H55" s="2" t="s">
        <v>90</v>
      </c>
      <c r="I55" s="2" t="s">
        <v>91</v>
      </c>
      <c r="J55" s="2" t="n">
        <v>0.5</v>
      </c>
      <c r="K55" s="2" t="str">
        <f aca="false">H55&amp;" "&amp;I55</f>
        <v>КПСнг(А)-FRHF 2x2x0,75</v>
      </c>
    </row>
    <row r="56" customFormat="false" ht="15" hidden="false" customHeight="false" outlineLevel="0" collapsed="false">
      <c r="A56" s="2" t="n">
        <v>55</v>
      </c>
      <c r="B56" s="2" t="s">
        <v>85</v>
      </c>
      <c r="C56" s="2" t="n">
        <v>3</v>
      </c>
      <c r="D56" s="2" t="s">
        <v>86</v>
      </c>
      <c r="E56" s="2" t="s">
        <v>116</v>
      </c>
      <c r="F56" s="2" t="s">
        <v>117</v>
      </c>
      <c r="G56" s="2" t="s">
        <v>89</v>
      </c>
      <c r="H56" s="2" t="s">
        <v>90</v>
      </c>
      <c r="I56" s="2" t="s">
        <v>91</v>
      </c>
      <c r="J56" s="2" t="n">
        <v>1.4</v>
      </c>
      <c r="K56" s="2" t="str">
        <f aca="false">H56&amp;" "&amp;I56</f>
        <v>КПСнг(А)-FRHF 2x2x0,75</v>
      </c>
    </row>
    <row r="57" customFormat="false" ht="15" hidden="false" customHeight="false" outlineLevel="0" collapsed="false">
      <c r="A57" s="2" t="n">
        <v>56</v>
      </c>
      <c r="B57" s="2" t="s">
        <v>85</v>
      </c>
      <c r="C57" s="2" t="n">
        <v>3</v>
      </c>
      <c r="D57" s="2" t="s">
        <v>86</v>
      </c>
      <c r="E57" s="2" t="s">
        <v>116</v>
      </c>
      <c r="F57" s="2" t="s">
        <v>87</v>
      </c>
      <c r="G57" s="2" t="s">
        <v>89</v>
      </c>
      <c r="H57" s="2" t="s">
        <v>90</v>
      </c>
      <c r="I57" s="2" t="s">
        <v>91</v>
      </c>
      <c r="J57" s="2" t="n">
        <v>2</v>
      </c>
      <c r="K57" s="2" t="str">
        <f aca="false">H57&amp;" "&amp;I57</f>
        <v>КПСнг(А)-FRHF 2x2x0,75</v>
      </c>
    </row>
    <row r="58" customFormat="false" ht="26.85" hidden="false" customHeight="false" outlineLevel="0" collapsed="false">
      <c r="A58" s="2" t="n">
        <v>57</v>
      </c>
      <c r="B58" s="2" t="s">
        <v>118</v>
      </c>
      <c r="C58" s="2" t="n">
        <v>3</v>
      </c>
      <c r="D58" s="2" t="s">
        <v>119</v>
      </c>
      <c r="E58" s="2" t="s">
        <v>120</v>
      </c>
      <c r="F58" s="2" t="s">
        <v>121</v>
      </c>
      <c r="G58" s="2" t="s">
        <v>122</v>
      </c>
      <c r="H58" s="2" t="s">
        <v>90</v>
      </c>
      <c r="I58" s="2" t="s">
        <v>123</v>
      </c>
      <c r="J58" s="2" t="n">
        <v>2.2</v>
      </c>
      <c r="K58" s="2" t="str">
        <f aca="false">H58&amp;" "&amp;I58</f>
        <v>КПСнг(А)-FRHF 1x2x1</v>
      </c>
    </row>
    <row r="59" customFormat="false" ht="26.85" hidden="false" customHeight="false" outlineLevel="0" collapsed="false">
      <c r="A59" s="2" t="n">
        <v>58</v>
      </c>
      <c r="B59" s="2" t="s">
        <v>118</v>
      </c>
      <c r="C59" s="2" t="n">
        <v>3</v>
      </c>
      <c r="D59" s="2" t="s">
        <v>119</v>
      </c>
      <c r="E59" s="2" t="s">
        <v>121</v>
      </c>
      <c r="F59" s="2" t="s">
        <v>124</v>
      </c>
      <c r="G59" s="2" t="s">
        <v>122</v>
      </c>
      <c r="H59" s="2" t="s">
        <v>90</v>
      </c>
      <c r="I59" s="2" t="s">
        <v>123</v>
      </c>
      <c r="J59" s="2" t="n">
        <v>3.3</v>
      </c>
      <c r="K59" s="2" t="str">
        <f aca="false">H59&amp;" "&amp;I59</f>
        <v>КПСнг(А)-FRHF 1x2x1</v>
      </c>
    </row>
    <row r="60" customFormat="false" ht="26.85" hidden="false" customHeight="false" outlineLevel="0" collapsed="false">
      <c r="A60" s="2" t="n">
        <v>59</v>
      </c>
      <c r="B60" s="2" t="s">
        <v>118</v>
      </c>
      <c r="C60" s="2" t="n">
        <v>3</v>
      </c>
      <c r="D60" s="2" t="s">
        <v>119</v>
      </c>
      <c r="E60" s="2" t="s">
        <v>124</v>
      </c>
      <c r="F60" s="2" t="s">
        <v>125</v>
      </c>
      <c r="G60" s="2" t="s">
        <v>122</v>
      </c>
      <c r="H60" s="2" t="s">
        <v>90</v>
      </c>
      <c r="I60" s="2" t="s">
        <v>123</v>
      </c>
      <c r="J60" s="2" t="n">
        <v>4.8</v>
      </c>
      <c r="K60" s="2" t="str">
        <f aca="false">H60&amp;" "&amp;I60</f>
        <v>КПСнг(А)-FRHF 1x2x1</v>
      </c>
    </row>
    <row r="61" customFormat="false" ht="26.85" hidden="false" customHeight="false" outlineLevel="0" collapsed="false">
      <c r="A61" s="2" t="n">
        <v>60</v>
      </c>
      <c r="B61" s="2" t="s">
        <v>118</v>
      </c>
      <c r="C61" s="2" t="n">
        <v>3</v>
      </c>
      <c r="D61" s="2" t="s">
        <v>119</v>
      </c>
      <c r="E61" s="2" t="s">
        <v>125</v>
      </c>
      <c r="F61" s="2" t="s">
        <v>126</v>
      </c>
      <c r="G61" s="2" t="s">
        <v>122</v>
      </c>
      <c r="H61" s="2" t="s">
        <v>90</v>
      </c>
      <c r="I61" s="2" t="s">
        <v>123</v>
      </c>
      <c r="J61" s="2" t="n">
        <v>5.4</v>
      </c>
      <c r="K61" s="2" t="str">
        <f aca="false">H61&amp;" "&amp;I61</f>
        <v>КПСнг(А)-FRHF 1x2x1</v>
      </c>
    </row>
    <row r="62" customFormat="false" ht="26.85" hidden="false" customHeight="false" outlineLevel="0" collapsed="false">
      <c r="A62" s="2" t="n">
        <v>61</v>
      </c>
      <c r="B62" s="2" t="s">
        <v>118</v>
      </c>
      <c r="C62" s="2" t="n">
        <v>3</v>
      </c>
      <c r="D62" s="2" t="s">
        <v>119</v>
      </c>
      <c r="E62" s="2" t="s">
        <v>126</v>
      </c>
      <c r="F62" s="2" t="s">
        <v>127</v>
      </c>
      <c r="G62" s="2" t="s">
        <v>122</v>
      </c>
      <c r="H62" s="2" t="s">
        <v>90</v>
      </c>
      <c r="I62" s="2" t="s">
        <v>123</v>
      </c>
      <c r="J62" s="2" t="n">
        <v>5.4</v>
      </c>
      <c r="K62" s="2" t="str">
        <f aca="false">H62&amp;" "&amp;I62</f>
        <v>КПСнг(А)-FRHF 1x2x1</v>
      </c>
    </row>
    <row r="63" customFormat="false" ht="26.85" hidden="false" customHeight="false" outlineLevel="0" collapsed="false">
      <c r="A63" s="2" t="n">
        <v>62</v>
      </c>
      <c r="B63" s="2" t="s">
        <v>118</v>
      </c>
      <c r="C63" s="2" t="n">
        <v>3</v>
      </c>
      <c r="D63" s="2" t="s">
        <v>119</v>
      </c>
      <c r="E63" s="2" t="s">
        <v>127</v>
      </c>
      <c r="F63" s="2" t="s">
        <v>128</v>
      </c>
      <c r="G63" s="2" t="s">
        <v>122</v>
      </c>
      <c r="H63" s="2" t="s">
        <v>90</v>
      </c>
      <c r="I63" s="2" t="s">
        <v>123</v>
      </c>
      <c r="J63" s="2" t="n">
        <v>2.7</v>
      </c>
      <c r="K63" s="2" t="str">
        <f aca="false">H63&amp;" "&amp;I63</f>
        <v>КПСнг(А)-FRHF 1x2x1</v>
      </c>
    </row>
    <row r="64" customFormat="false" ht="26.85" hidden="false" customHeight="false" outlineLevel="0" collapsed="false">
      <c r="A64" s="2" t="n">
        <v>63</v>
      </c>
      <c r="B64" s="2" t="s">
        <v>118</v>
      </c>
      <c r="C64" s="2" t="n">
        <v>4</v>
      </c>
      <c r="D64" s="2" t="s">
        <v>119</v>
      </c>
      <c r="E64" s="2" t="s">
        <v>128</v>
      </c>
      <c r="F64" s="2" t="s">
        <v>129</v>
      </c>
      <c r="G64" s="2" t="s">
        <v>122</v>
      </c>
      <c r="H64" s="2" t="s">
        <v>90</v>
      </c>
      <c r="I64" s="2" t="s">
        <v>123</v>
      </c>
      <c r="J64" s="2" t="n">
        <v>5.1</v>
      </c>
      <c r="K64" s="2" t="str">
        <f aca="false">H64&amp;" "&amp;I64</f>
        <v>КПСнг(А)-FRHF 1x2x1</v>
      </c>
    </row>
    <row r="65" customFormat="false" ht="26.85" hidden="false" customHeight="false" outlineLevel="0" collapsed="false">
      <c r="A65" s="2" t="n">
        <v>64</v>
      </c>
      <c r="B65" s="2" t="s">
        <v>118</v>
      </c>
      <c r="C65" s="2" t="n">
        <v>4</v>
      </c>
      <c r="D65" s="2" t="s">
        <v>119</v>
      </c>
      <c r="E65" s="2" t="s">
        <v>129</v>
      </c>
      <c r="F65" s="2" t="s">
        <v>130</v>
      </c>
      <c r="G65" s="2" t="s">
        <v>122</v>
      </c>
      <c r="H65" s="2" t="s">
        <v>90</v>
      </c>
      <c r="I65" s="2" t="s">
        <v>123</v>
      </c>
      <c r="J65" s="2" t="n">
        <v>7.3</v>
      </c>
      <c r="K65" s="2" t="str">
        <f aca="false">H65&amp;" "&amp;I65</f>
        <v>КПСнг(А)-FRHF 1x2x1</v>
      </c>
    </row>
    <row r="66" customFormat="false" ht="26.85" hidden="false" customHeight="false" outlineLevel="0" collapsed="false">
      <c r="A66" s="2" t="n">
        <v>65</v>
      </c>
      <c r="B66" s="2" t="s">
        <v>118</v>
      </c>
      <c r="C66" s="2" t="n">
        <v>4</v>
      </c>
      <c r="D66" s="2" t="s">
        <v>119</v>
      </c>
      <c r="E66" s="2" t="s">
        <v>130</v>
      </c>
      <c r="F66" s="2" t="s">
        <v>131</v>
      </c>
      <c r="G66" s="2" t="s">
        <v>122</v>
      </c>
      <c r="H66" s="2" t="s">
        <v>90</v>
      </c>
      <c r="I66" s="2" t="s">
        <v>123</v>
      </c>
      <c r="J66" s="2" t="n">
        <v>2.6</v>
      </c>
      <c r="K66" s="2" t="str">
        <f aca="false">H66&amp;" "&amp;I66</f>
        <v>КПСнг(А)-FRHF 1x2x1</v>
      </c>
    </row>
    <row r="67" customFormat="false" ht="26.85" hidden="false" customHeight="false" outlineLevel="0" collapsed="false">
      <c r="A67" s="2" t="n">
        <v>66</v>
      </c>
      <c r="B67" s="2" t="s">
        <v>118</v>
      </c>
      <c r="C67" s="2" t="n">
        <v>4</v>
      </c>
      <c r="D67" s="2" t="s">
        <v>119</v>
      </c>
      <c r="E67" s="2" t="s">
        <v>131</v>
      </c>
      <c r="F67" s="2" t="s">
        <v>132</v>
      </c>
      <c r="G67" s="2" t="s">
        <v>122</v>
      </c>
      <c r="H67" s="2" t="s">
        <v>90</v>
      </c>
      <c r="I67" s="2" t="s">
        <v>123</v>
      </c>
      <c r="J67" s="2" t="n">
        <v>5</v>
      </c>
      <c r="K67" s="2" t="str">
        <f aca="false">H67&amp;" "&amp;I67</f>
        <v>КПСнг(А)-FRHF 1x2x1</v>
      </c>
    </row>
    <row r="68" customFormat="false" ht="26.85" hidden="false" customHeight="false" outlineLevel="0" collapsed="false">
      <c r="A68" s="2" t="n">
        <v>67</v>
      </c>
      <c r="B68" s="2" t="s">
        <v>118</v>
      </c>
      <c r="C68" s="2" t="n">
        <v>4</v>
      </c>
      <c r="D68" s="2" t="s">
        <v>119</v>
      </c>
      <c r="E68" s="2" t="s">
        <v>132</v>
      </c>
      <c r="F68" s="2" t="s">
        <v>133</v>
      </c>
      <c r="G68" s="2" t="s">
        <v>122</v>
      </c>
      <c r="H68" s="2" t="s">
        <v>90</v>
      </c>
      <c r="I68" s="2" t="s">
        <v>123</v>
      </c>
      <c r="J68" s="2" t="n">
        <v>6.7</v>
      </c>
      <c r="K68" s="2" t="str">
        <f aca="false">H68&amp;" "&amp;I68</f>
        <v>КПСнг(А)-FRHF 1x2x1</v>
      </c>
    </row>
    <row r="69" customFormat="false" ht="26.85" hidden="false" customHeight="false" outlineLevel="0" collapsed="false">
      <c r="A69" s="2" t="n">
        <v>68</v>
      </c>
      <c r="B69" s="2" t="s">
        <v>118</v>
      </c>
      <c r="C69" s="2" t="n">
        <v>4</v>
      </c>
      <c r="D69" s="2" t="s">
        <v>119</v>
      </c>
      <c r="E69" s="2" t="s">
        <v>133</v>
      </c>
      <c r="F69" s="2" t="s">
        <v>134</v>
      </c>
      <c r="G69" s="2" t="s">
        <v>122</v>
      </c>
      <c r="H69" s="2" t="s">
        <v>90</v>
      </c>
      <c r="I69" s="2" t="s">
        <v>123</v>
      </c>
      <c r="J69" s="2" t="n">
        <v>5.7</v>
      </c>
      <c r="K69" s="2" t="str">
        <f aca="false">H69&amp;" "&amp;I69</f>
        <v>КПСнг(А)-FRHF 1x2x1</v>
      </c>
    </row>
    <row r="70" customFormat="false" ht="26.85" hidden="false" customHeight="false" outlineLevel="0" collapsed="false">
      <c r="A70" s="2" t="n">
        <v>69</v>
      </c>
      <c r="B70" s="2" t="s">
        <v>118</v>
      </c>
      <c r="C70" s="2" t="n">
        <v>4</v>
      </c>
      <c r="D70" s="2" t="s">
        <v>119</v>
      </c>
      <c r="E70" s="2" t="s">
        <v>134</v>
      </c>
      <c r="F70" s="2" t="s">
        <v>135</v>
      </c>
      <c r="G70" s="2" t="s">
        <v>122</v>
      </c>
      <c r="H70" s="2" t="s">
        <v>90</v>
      </c>
      <c r="I70" s="2" t="s">
        <v>123</v>
      </c>
      <c r="J70" s="2" t="n">
        <v>6</v>
      </c>
      <c r="K70" s="2" t="str">
        <f aca="false">H70&amp;" "&amp;I70</f>
        <v>КПСнг(А)-FRHF 1x2x1</v>
      </c>
    </row>
    <row r="71" customFormat="false" ht="26.85" hidden="false" customHeight="false" outlineLevel="0" collapsed="false">
      <c r="A71" s="2" t="n">
        <v>70</v>
      </c>
      <c r="B71" s="2" t="s">
        <v>118</v>
      </c>
      <c r="C71" s="2" t="n">
        <v>4</v>
      </c>
      <c r="D71" s="2" t="s">
        <v>119</v>
      </c>
      <c r="E71" s="2" t="s">
        <v>135</v>
      </c>
      <c r="F71" s="2" t="s">
        <v>136</v>
      </c>
      <c r="G71" s="2" t="s">
        <v>122</v>
      </c>
      <c r="H71" s="2" t="s">
        <v>90</v>
      </c>
      <c r="I71" s="2" t="s">
        <v>123</v>
      </c>
      <c r="J71" s="2" t="n">
        <v>5.8</v>
      </c>
      <c r="K71" s="2" t="str">
        <f aca="false">H71&amp;" "&amp;I71</f>
        <v>КПСнг(А)-FRHF 1x2x1</v>
      </c>
    </row>
    <row r="72" customFormat="false" ht="26.85" hidden="false" customHeight="false" outlineLevel="0" collapsed="false">
      <c r="A72" s="2" t="n">
        <v>71</v>
      </c>
      <c r="B72" s="2" t="s">
        <v>118</v>
      </c>
      <c r="C72" s="2" t="n">
        <v>4</v>
      </c>
      <c r="D72" s="2" t="s">
        <v>119</v>
      </c>
      <c r="E72" s="2" t="s">
        <v>136</v>
      </c>
      <c r="F72" s="2" t="s">
        <v>137</v>
      </c>
      <c r="G72" s="2" t="s">
        <v>122</v>
      </c>
      <c r="H72" s="2" t="s">
        <v>90</v>
      </c>
      <c r="I72" s="2" t="s">
        <v>123</v>
      </c>
      <c r="J72" s="2" t="n">
        <v>5.7</v>
      </c>
      <c r="K72" s="2" t="str">
        <f aca="false">H72&amp;" "&amp;I72</f>
        <v>КПСнг(А)-FRHF 1x2x1</v>
      </c>
    </row>
    <row r="73" customFormat="false" ht="26.85" hidden="false" customHeight="false" outlineLevel="0" collapsed="false">
      <c r="A73" s="2" t="n">
        <v>72</v>
      </c>
      <c r="B73" s="2" t="s">
        <v>118</v>
      </c>
      <c r="C73" s="2" t="n">
        <v>4</v>
      </c>
      <c r="D73" s="2" t="s">
        <v>119</v>
      </c>
      <c r="E73" s="2" t="s">
        <v>137</v>
      </c>
      <c r="F73" s="2" t="s">
        <v>138</v>
      </c>
      <c r="G73" s="2" t="s">
        <v>122</v>
      </c>
      <c r="H73" s="2" t="s">
        <v>90</v>
      </c>
      <c r="I73" s="2" t="s">
        <v>123</v>
      </c>
      <c r="J73" s="2" t="n">
        <v>6</v>
      </c>
      <c r="K73" s="2" t="str">
        <f aca="false">H73&amp;" "&amp;I73</f>
        <v>КПСнг(А)-FRHF 1x2x1</v>
      </c>
    </row>
    <row r="74" customFormat="false" ht="26.85" hidden="false" customHeight="false" outlineLevel="0" collapsed="false">
      <c r="A74" s="2" t="n">
        <v>73</v>
      </c>
      <c r="B74" s="2" t="s">
        <v>118</v>
      </c>
      <c r="C74" s="2" t="n">
        <v>4</v>
      </c>
      <c r="D74" s="2" t="s">
        <v>119</v>
      </c>
      <c r="E74" s="2" t="s">
        <v>138</v>
      </c>
      <c r="F74" s="2" t="s">
        <v>139</v>
      </c>
      <c r="G74" s="2" t="s">
        <v>122</v>
      </c>
      <c r="H74" s="2" t="s">
        <v>90</v>
      </c>
      <c r="I74" s="2" t="s">
        <v>123</v>
      </c>
      <c r="J74" s="2" t="n">
        <v>6.7</v>
      </c>
      <c r="K74" s="2" t="str">
        <f aca="false">H74&amp;" "&amp;I74</f>
        <v>КПСнг(А)-FRHF 1x2x1</v>
      </c>
    </row>
    <row r="75" customFormat="false" ht="26.85" hidden="false" customHeight="false" outlineLevel="0" collapsed="false">
      <c r="A75" s="2" t="n">
        <v>74</v>
      </c>
      <c r="B75" s="2" t="s">
        <v>118</v>
      </c>
      <c r="C75" s="2" t="n">
        <v>4</v>
      </c>
      <c r="D75" s="2" t="s">
        <v>119</v>
      </c>
      <c r="E75" s="2" t="s">
        <v>139</v>
      </c>
      <c r="F75" s="2" t="s">
        <v>140</v>
      </c>
      <c r="G75" s="2" t="s">
        <v>122</v>
      </c>
      <c r="H75" s="2" t="s">
        <v>90</v>
      </c>
      <c r="I75" s="2" t="s">
        <v>123</v>
      </c>
      <c r="J75" s="2" t="n">
        <v>2.9</v>
      </c>
      <c r="K75" s="2" t="str">
        <f aca="false">H75&amp;" "&amp;I75</f>
        <v>КПСнг(А)-FRHF 1x2x1</v>
      </c>
    </row>
    <row r="76" customFormat="false" ht="26.85" hidden="false" customHeight="false" outlineLevel="0" collapsed="false">
      <c r="A76" s="2" t="n">
        <v>75</v>
      </c>
      <c r="B76" s="2" t="s">
        <v>118</v>
      </c>
      <c r="C76" s="2" t="n">
        <v>4</v>
      </c>
      <c r="D76" s="2" t="s">
        <v>120</v>
      </c>
      <c r="E76" s="2" t="s">
        <v>141</v>
      </c>
      <c r="F76" s="2" t="s">
        <v>120</v>
      </c>
      <c r="G76" s="2" t="s">
        <v>142</v>
      </c>
      <c r="H76" s="2" t="s">
        <v>143</v>
      </c>
      <c r="I76" s="2" t="s">
        <v>144</v>
      </c>
      <c r="J76" s="2" t="n">
        <v>15</v>
      </c>
      <c r="K76" s="2" t="str">
        <f aca="false">H76&amp;" "&amp;I76</f>
        <v>PaRLaN ARM F/UTP Cat 5e 4х2х0.52</v>
      </c>
    </row>
    <row r="77" customFormat="false" ht="15" hidden="false" customHeight="false" outlineLevel="0" collapsed="false">
      <c r="A77" s="2" t="n">
        <v>76</v>
      </c>
      <c r="B77" s="2" t="s">
        <v>145</v>
      </c>
      <c r="C77" s="2" t="n">
        <v>4</v>
      </c>
      <c r="D77" s="2" t="s">
        <v>146</v>
      </c>
      <c r="E77" s="2" t="s">
        <v>147</v>
      </c>
      <c r="F77" s="2" t="s">
        <v>148</v>
      </c>
      <c r="G77" s="2" t="s">
        <v>149</v>
      </c>
      <c r="H77" s="2" t="s">
        <v>150</v>
      </c>
      <c r="I77" s="2" t="s">
        <v>151</v>
      </c>
      <c r="J77" s="2" t="n">
        <v>10</v>
      </c>
      <c r="K77" s="2" t="str">
        <f aca="false">H77&amp;" "&amp;I77</f>
        <v>UTP-4P-Cat.5e 4х2x0,52</v>
      </c>
    </row>
    <row r="78" customFormat="false" ht="15" hidden="false" customHeight="false" outlineLevel="0" collapsed="false">
      <c r="A78" s="2" t="n">
        <v>77</v>
      </c>
      <c r="B78" s="2" t="s">
        <v>145</v>
      </c>
      <c r="C78" s="2" t="n">
        <v>4</v>
      </c>
      <c r="D78" s="2" t="s">
        <v>152</v>
      </c>
      <c r="E78" s="2" t="s">
        <v>147</v>
      </c>
      <c r="F78" s="2" t="s">
        <v>153</v>
      </c>
      <c r="G78" s="2" t="s">
        <v>154</v>
      </c>
      <c r="H78" s="2" t="s">
        <v>150</v>
      </c>
      <c r="I78" s="2" t="s">
        <v>151</v>
      </c>
      <c r="J78" s="2" t="n">
        <v>10</v>
      </c>
      <c r="K78" s="2" t="str">
        <f aca="false">H78&amp;" "&amp;I78</f>
        <v>UTP-4P-Cat.5e 4х2x0,52</v>
      </c>
    </row>
    <row r="79" customFormat="false" ht="15" hidden="false" customHeight="false" outlineLevel="0" collapsed="false">
      <c r="A79" s="2" t="n">
        <v>78</v>
      </c>
      <c r="B79" s="2" t="s">
        <v>145</v>
      </c>
      <c r="C79" s="2" t="n">
        <v>4</v>
      </c>
      <c r="D79" s="2" t="s">
        <v>155</v>
      </c>
      <c r="E79" s="2" t="s">
        <v>147</v>
      </c>
      <c r="F79" s="2" t="s">
        <v>156</v>
      </c>
      <c r="G79" s="2" t="s">
        <v>149</v>
      </c>
      <c r="H79" s="2" t="s">
        <v>150</v>
      </c>
      <c r="I79" s="2" t="s">
        <v>151</v>
      </c>
      <c r="J79" s="2" t="n">
        <v>10</v>
      </c>
      <c r="K79" s="2" t="str">
        <f aca="false">H79&amp;" "&amp;I79</f>
        <v>UTP-4P-Cat.5e 4х2x0,52</v>
      </c>
    </row>
    <row r="80" customFormat="false" ht="15" hidden="false" customHeight="false" outlineLevel="0" collapsed="false">
      <c r="A80" s="2" t="n">
        <v>79</v>
      </c>
      <c r="B80" s="2" t="s">
        <v>145</v>
      </c>
      <c r="C80" s="2" t="n">
        <v>4</v>
      </c>
      <c r="D80" s="2" t="s">
        <v>157</v>
      </c>
      <c r="E80" s="2" t="s">
        <v>158</v>
      </c>
      <c r="F80" s="2" t="s">
        <v>159</v>
      </c>
      <c r="G80" s="2" t="s">
        <v>149</v>
      </c>
      <c r="H80" s="2" t="s">
        <v>150</v>
      </c>
      <c r="I80" s="2" t="s">
        <v>151</v>
      </c>
      <c r="J80" s="2" t="n">
        <v>7</v>
      </c>
      <c r="K80" s="2" t="str">
        <f aca="false">H80&amp;" "&amp;I80</f>
        <v>UTP-4P-Cat.5e 4х2x0,52</v>
      </c>
    </row>
    <row r="81" customFormat="false" ht="15" hidden="false" customHeight="false" outlineLevel="0" collapsed="false">
      <c r="A81" s="2" t="n">
        <v>80</v>
      </c>
      <c r="B81" s="2" t="s">
        <v>145</v>
      </c>
      <c r="C81" s="2" t="n">
        <v>5</v>
      </c>
      <c r="D81" s="2" t="s">
        <v>160</v>
      </c>
      <c r="E81" s="2" t="s">
        <v>158</v>
      </c>
      <c r="F81" s="2" t="s">
        <v>161</v>
      </c>
      <c r="G81" s="2" t="s">
        <v>154</v>
      </c>
      <c r="H81" s="2" t="s">
        <v>150</v>
      </c>
      <c r="I81" s="2" t="s">
        <v>151</v>
      </c>
      <c r="J81" s="2" t="n">
        <v>7</v>
      </c>
      <c r="K81" s="2" t="str">
        <f aca="false">H81&amp;" "&amp;I81</f>
        <v>UTP-4P-Cat.5e 4х2x0,52</v>
      </c>
    </row>
    <row r="82" customFormat="false" ht="15" hidden="false" customHeight="false" outlineLevel="0" collapsed="false">
      <c r="A82" s="2" t="n">
        <v>81</v>
      </c>
      <c r="B82" s="2" t="s">
        <v>145</v>
      </c>
      <c r="C82" s="2" t="n">
        <v>5</v>
      </c>
      <c r="D82" s="2" t="s">
        <v>162</v>
      </c>
      <c r="E82" s="2" t="s">
        <v>158</v>
      </c>
      <c r="F82" s="2" t="s">
        <v>163</v>
      </c>
      <c r="G82" s="2" t="s">
        <v>149</v>
      </c>
      <c r="H82" s="2" t="s">
        <v>150</v>
      </c>
      <c r="I82" s="2" t="s">
        <v>151</v>
      </c>
      <c r="J82" s="2" t="n">
        <v>7</v>
      </c>
      <c r="K82" s="2" t="str">
        <f aca="false">H82&amp;" "&amp;I82</f>
        <v>UTP-4P-Cat.5e 4х2x0,52</v>
      </c>
    </row>
    <row r="83" customFormat="false" ht="15" hidden="false" customHeight="false" outlineLevel="0" collapsed="false">
      <c r="A83" s="2" t="n">
        <v>82</v>
      </c>
      <c r="B83" s="2" t="s">
        <v>145</v>
      </c>
      <c r="C83" s="2" t="n">
        <v>5</v>
      </c>
      <c r="D83" s="2" t="s">
        <v>164</v>
      </c>
      <c r="E83" s="2" t="s">
        <v>165</v>
      </c>
      <c r="F83" s="2" t="s">
        <v>166</v>
      </c>
      <c r="G83" s="2" t="s">
        <v>149</v>
      </c>
      <c r="H83" s="2" t="s">
        <v>150</v>
      </c>
      <c r="I83" s="2" t="s">
        <v>151</v>
      </c>
      <c r="J83" s="2" t="n">
        <v>25</v>
      </c>
      <c r="K83" s="2" t="str">
        <f aca="false">H83&amp;" "&amp;I83</f>
        <v>UTP-4P-Cat.5e 4х2x0,52</v>
      </c>
    </row>
    <row r="84" customFormat="false" ht="15" hidden="false" customHeight="false" outlineLevel="0" collapsed="false">
      <c r="A84" s="2" t="n">
        <v>83</v>
      </c>
      <c r="B84" s="2" t="s">
        <v>145</v>
      </c>
      <c r="C84" s="2" t="n">
        <v>5</v>
      </c>
      <c r="D84" s="2" t="s">
        <v>167</v>
      </c>
      <c r="E84" s="2" t="s">
        <v>165</v>
      </c>
      <c r="F84" s="2" t="s">
        <v>168</v>
      </c>
      <c r="G84" s="2" t="s">
        <v>154</v>
      </c>
      <c r="H84" s="2" t="s">
        <v>150</v>
      </c>
      <c r="I84" s="2" t="s">
        <v>151</v>
      </c>
      <c r="J84" s="2" t="n">
        <v>25</v>
      </c>
      <c r="K84" s="2" t="str">
        <f aca="false">H84&amp;" "&amp;I84</f>
        <v>UTP-4P-Cat.5e 4х2x0,52</v>
      </c>
    </row>
    <row r="85" customFormat="false" ht="15" hidden="false" customHeight="false" outlineLevel="0" collapsed="false">
      <c r="A85" s="2" t="n">
        <v>84</v>
      </c>
      <c r="B85" s="2" t="s">
        <v>145</v>
      </c>
      <c r="C85" s="2" t="n">
        <v>5</v>
      </c>
      <c r="D85" s="2" t="s">
        <v>169</v>
      </c>
      <c r="E85" s="2" t="s">
        <v>165</v>
      </c>
      <c r="F85" s="2" t="s">
        <v>170</v>
      </c>
      <c r="G85" s="2" t="s">
        <v>149</v>
      </c>
      <c r="H85" s="2" t="s">
        <v>150</v>
      </c>
      <c r="I85" s="2" t="s">
        <v>151</v>
      </c>
      <c r="J85" s="2" t="n">
        <v>25</v>
      </c>
      <c r="K85" s="2" t="str">
        <f aca="false">H85&amp;" "&amp;I85</f>
        <v>UTP-4P-Cat.5e 4х2x0,52</v>
      </c>
    </row>
    <row r="86" customFormat="false" ht="15" hidden="false" customHeight="false" outlineLevel="0" collapsed="false">
      <c r="A86" s="2" t="n">
        <v>85</v>
      </c>
      <c r="B86" s="2" t="s">
        <v>171</v>
      </c>
      <c r="C86" s="2" t="n">
        <v>5</v>
      </c>
      <c r="D86" s="2" t="s">
        <v>172</v>
      </c>
      <c r="E86" s="2" t="s">
        <v>173</v>
      </c>
      <c r="F86" s="2" t="s">
        <v>174</v>
      </c>
      <c r="G86" s="2" t="s">
        <v>89</v>
      </c>
      <c r="H86" s="2" t="s">
        <v>90</v>
      </c>
      <c r="I86" s="2" t="s">
        <v>175</v>
      </c>
      <c r="J86" s="2" t="n">
        <v>4.8</v>
      </c>
      <c r="K86" s="2" t="str">
        <f aca="false">H86&amp;" "&amp;I86</f>
        <v>КПСнг(А)-FRHF 1x2x0,5</v>
      </c>
    </row>
    <row r="87" customFormat="false" ht="15" hidden="false" customHeight="false" outlineLevel="0" collapsed="false">
      <c r="A87" s="2" t="n">
        <v>86</v>
      </c>
      <c r="B87" s="2" t="s">
        <v>171</v>
      </c>
      <c r="C87" s="2" t="n">
        <v>5</v>
      </c>
      <c r="D87" s="2" t="s">
        <v>172</v>
      </c>
      <c r="E87" s="2" t="s">
        <v>174</v>
      </c>
      <c r="F87" s="2" t="s">
        <v>176</v>
      </c>
      <c r="G87" s="2" t="s">
        <v>89</v>
      </c>
      <c r="H87" s="2" t="s">
        <v>90</v>
      </c>
      <c r="I87" s="2" t="s">
        <v>175</v>
      </c>
      <c r="J87" s="2" t="n">
        <v>7.7</v>
      </c>
      <c r="K87" s="2" t="str">
        <f aca="false">H87&amp;" "&amp;I87</f>
        <v>КПСнг(А)-FRHF 1x2x0,5</v>
      </c>
    </row>
    <row r="88" customFormat="false" ht="15" hidden="false" customHeight="false" outlineLevel="0" collapsed="false">
      <c r="A88" s="2" t="n">
        <v>87</v>
      </c>
      <c r="B88" s="2" t="s">
        <v>171</v>
      </c>
      <c r="C88" s="2" t="n">
        <v>5</v>
      </c>
      <c r="D88" s="2" t="s">
        <v>172</v>
      </c>
      <c r="E88" s="2" t="s">
        <v>176</v>
      </c>
      <c r="F88" s="2" t="s">
        <v>177</v>
      </c>
      <c r="G88" s="2" t="s">
        <v>89</v>
      </c>
      <c r="H88" s="2" t="s">
        <v>90</v>
      </c>
      <c r="I88" s="2" t="s">
        <v>175</v>
      </c>
      <c r="J88" s="2" t="n">
        <v>3.8</v>
      </c>
      <c r="K88" s="2" t="str">
        <f aca="false">H88&amp;" "&amp;I88</f>
        <v>КПСнг(А)-FRHF 1x2x0,5</v>
      </c>
    </row>
    <row r="89" customFormat="false" ht="15" hidden="false" customHeight="false" outlineLevel="0" collapsed="false">
      <c r="A89" s="2" t="n">
        <v>88</v>
      </c>
      <c r="B89" s="2" t="s">
        <v>171</v>
      </c>
      <c r="C89" s="2" t="n">
        <v>5</v>
      </c>
      <c r="D89" s="2" t="s">
        <v>172</v>
      </c>
      <c r="E89" s="2" t="s">
        <v>177</v>
      </c>
      <c r="F89" s="2" t="s">
        <v>178</v>
      </c>
      <c r="G89" s="2" t="s">
        <v>89</v>
      </c>
      <c r="H89" s="2" t="s">
        <v>90</v>
      </c>
      <c r="I89" s="2" t="s">
        <v>175</v>
      </c>
      <c r="J89" s="2" t="n">
        <v>4.9</v>
      </c>
      <c r="K89" s="2" t="str">
        <f aca="false">H89&amp;" "&amp;I89</f>
        <v>КПСнг(А)-FRHF 1x2x0,5</v>
      </c>
    </row>
    <row r="90" customFormat="false" ht="15" hidden="false" customHeight="false" outlineLevel="0" collapsed="false">
      <c r="A90" s="2" t="n">
        <v>89</v>
      </c>
      <c r="B90" s="2" t="s">
        <v>171</v>
      </c>
      <c r="C90" s="2" t="n">
        <v>5</v>
      </c>
      <c r="D90" s="2" t="s">
        <v>172</v>
      </c>
      <c r="E90" s="2" t="s">
        <v>178</v>
      </c>
      <c r="F90" s="2" t="s">
        <v>179</v>
      </c>
      <c r="G90" s="2" t="s">
        <v>89</v>
      </c>
      <c r="H90" s="2" t="s">
        <v>90</v>
      </c>
      <c r="I90" s="2" t="s">
        <v>175</v>
      </c>
      <c r="J90" s="2" t="n">
        <v>3.5</v>
      </c>
      <c r="K90" s="2" t="str">
        <f aca="false">H90&amp;" "&amp;I90</f>
        <v>КПСнг(А)-FRHF 1x2x0,5</v>
      </c>
    </row>
    <row r="91" customFormat="false" ht="15" hidden="false" customHeight="false" outlineLevel="0" collapsed="false">
      <c r="A91" s="2" t="n">
        <v>90</v>
      </c>
      <c r="B91" s="2" t="s">
        <v>171</v>
      </c>
      <c r="C91" s="2" t="n">
        <v>5</v>
      </c>
      <c r="D91" s="2" t="s">
        <v>172</v>
      </c>
      <c r="E91" s="2" t="s">
        <v>179</v>
      </c>
      <c r="F91" s="2" t="s">
        <v>180</v>
      </c>
      <c r="G91" s="2" t="s">
        <v>89</v>
      </c>
      <c r="H91" s="2" t="s">
        <v>90</v>
      </c>
      <c r="I91" s="2" t="s">
        <v>175</v>
      </c>
      <c r="J91" s="2" t="n">
        <v>4.3</v>
      </c>
      <c r="K91" s="2" t="str">
        <f aca="false">H91&amp;" "&amp;I91</f>
        <v>КПСнг(А)-FRHF 1x2x0,5</v>
      </c>
    </row>
    <row r="92" customFormat="false" ht="15" hidden="false" customHeight="false" outlineLevel="0" collapsed="false">
      <c r="A92" s="2" t="n">
        <v>91</v>
      </c>
      <c r="B92" s="2" t="s">
        <v>171</v>
      </c>
      <c r="C92" s="2" t="n">
        <v>5</v>
      </c>
      <c r="D92" s="2" t="s">
        <v>172</v>
      </c>
      <c r="E92" s="2" t="s">
        <v>180</v>
      </c>
      <c r="F92" s="2" t="s">
        <v>181</v>
      </c>
      <c r="G92" s="2" t="s">
        <v>89</v>
      </c>
      <c r="H92" s="2" t="s">
        <v>90</v>
      </c>
      <c r="I92" s="2" t="s">
        <v>175</v>
      </c>
      <c r="J92" s="2" t="n">
        <v>6.1</v>
      </c>
      <c r="K92" s="2" t="str">
        <f aca="false">H92&amp;" "&amp;I92</f>
        <v>КПСнг(А)-FRHF 1x2x0,5</v>
      </c>
    </row>
    <row r="93" customFormat="false" ht="15" hidden="false" customHeight="false" outlineLevel="0" collapsed="false">
      <c r="A93" s="2" t="n">
        <v>92</v>
      </c>
      <c r="B93" s="2" t="s">
        <v>171</v>
      </c>
      <c r="C93" s="2" t="n">
        <v>5</v>
      </c>
      <c r="D93" s="2" t="s">
        <v>172</v>
      </c>
      <c r="E93" s="2" t="s">
        <v>181</v>
      </c>
      <c r="F93" s="2" t="s">
        <v>182</v>
      </c>
      <c r="G93" s="2" t="s">
        <v>89</v>
      </c>
      <c r="H93" s="2" t="s">
        <v>90</v>
      </c>
      <c r="I93" s="2" t="s">
        <v>175</v>
      </c>
      <c r="J93" s="2" t="n">
        <v>4.2</v>
      </c>
      <c r="K93" s="2" t="str">
        <f aca="false">H93&amp;" "&amp;I93</f>
        <v>КПСнг(А)-FRHF 1x2x0,5</v>
      </c>
    </row>
    <row r="94" customFormat="false" ht="15" hidden="false" customHeight="false" outlineLevel="0" collapsed="false">
      <c r="A94" s="2" t="n">
        <v>93</v>
      </c>
      <c r="B94" s="2" t="s">
        <v>171</v>
      </c>
      <c r="C94" s="2" t="n">
        <v>5</v>
      </c>
      <c r="D94" s="2" t="s">
        <v>172</v>
      </c>
      <c r="E94" s="2" t="s">
        <v>182</v>
      </c>
      <c r="F94" s="2" t="s">
        <v>183</v>
      </c>
      <c r="G94" s="2" t="s">
        <v>89</v>
      </c>
      <c r="H94" s="2" t="s">
        <v>90</v>
      </c>
      <c r="I94" s="2" t="s">
        <v>175</v>
      </c>
      <c r="J94" s="2" t="n">
        <v>5.4</v>
      </c>
      <c r="K94" s="2" t="str">
        <f aca="false">H94&amp;" "&amp;I94</f>
        <v>КПСнг(А)-FRHF 1x2x0,5</v>
      </c>
    </row>
    <row r="95" customFormat="false" ht="15" hidden="false" customHeight="false" outlineLevel="0" collapsed="false">
      <c r="A95" s="2" t="n">
        <v>94</v>
      </c>
      <c r="B95" s="2" t="s">
        <v>171</v>
      </c>
      <c r="C95" s="2" t="n">
        <v>5</v>
      </c>
      <c r="D95" s="2" t="s">
        <v>172</v>
      </c>
      <c r="E95" s="2" t="s">
        <v>183</v>
      </c>
      <c r="F95" s="2" t="s">
        <v>184</v>
      </c>
      <c r="G95" s="2" t="s">
        <v>89</v>
      </c>
      <c r="H95" s="2" t="s">
        <v>90</v>
      </c>
      <c r="I95" s="2" t="s">
        <v>175</v>
      </c>
      <c r="J95" s="2" t="n">
        <v>3.7</v>
      </c>
      <c r="K95" s="2" t="str">
        <f aca="false">H95&amp;" "&amp;I95</f>
        <v>КПСнг(А)-FRHF 1x2x0,5</v>
      </c>
    </row>
    <row r="96" customFormat="false" ht="15" hidden="false" customHeight="false" outlineLevel="0" collapsed="false">
      <c r="A96" s="2" t="n">
        <v>95</v>
      </c>
      <c r="B96" s="2" t="s">
        <v>171</v>
      </c>
      <c r="C96" s="2" t="n">
        <v>5</v>
      </c>
      <c r="D96" s="2" t="s">
        <v>172</v>
      </c>
      <c r="E96" s="2" t="s">
        <v>184</v>
      </c>
      <c r="F96" s="2" t="s">
        <v>185</v>
      </c>
      <c r="G96" s="2" t="s">
        <v>89</v>
      </c>
      <c r="H96" s="2" t="s">
        <v>90</v>
      </c>
      <c r="I96" s="2" t="s">
        <v>175</v>
      </c>
      <c r="J96" s="2" t="n">
        <v>7.1</v>
      </c>
      <c r="K96" s="2" t="str">
        <f aca="false">H96&amp;" "&amp;I96</f>
        <v>КПСнг(А)-FRHF 1x2x0,5</v>
      </c>
    </row>
    <row r="97" customFormat="false" ht="15" hidden="false" customHeight="false" outlineLevel="0" collapsed="false">
      <c r="A97" s="2" t="n">
        <v>96</v>
      </c>
      <c r="B97" s="2" t="s">
        <v>171</v>
      </c>
      <c r="C97" s="2" t="n">
        <v>5</v>
      </c>
      <c r="D97" s="2" t="s">
        <v>172</v>
      </c>
      <c r="E97" s="2" t="s">
        <v>185</v>
      </c>
      <c r="F97" s="2" t="s">
        <v>186</v>
      </c>
      <c r="G97" s="2" t="s">
        <v>89</v>
      </c>
      <c r="H97" s="2" t="s">
        <v>90</v>
      </c>
      <c r="I97" s="2" t="s">
        <v>175</v>
      </c>
      <c r="J97" s="2" t="n">
        <v>6</v>
      </c>
      <c r="K97" s="2" t="str">
        <f aca="false">H97&amp;" "&amp;I97</f>
        <v>КПСнг(А)-FRHF 1x2x0,5</v>
      </c>
    </row>
    <row r="98" customFormat="false" ht="15" hidden="false" customHeight="false" outlineLevel="0" collapsed="false">
      <c r="A98" s="2" t="n">
        <v>97</v>
      </c>
      <c r="B98" s="2" t="s">
        <v>171</v>
      </c>
      <c r="C98" s="2" t="n">
        <v>5</v>
      </c>
      <c r="D98" s="2" t="s">
        <v>172</v>
      </c>
      <c r="E98" s="2" t="s">
        <v>186</v>
      </c>
      <c r="F98" s="2" t="s">
        <v>187</v>
      </c>
      <c r="G98" s="2" t="s">
        <v>89</v>
      </c>
      <c r="H98" s="2" t="s">
        <v>90</v>
      </c>
      <c r="I98" s="2" t="s">
        <v>175</v>
      </c>
      <c r="J98" s="2" t="n">
        <v>4.3</v>
      </c>
      <c r="K98" s="2" t="str">
        <f aca="false">H98&amp;" "&amp;I98</f>
        <v>КПСнг(А)-FRHF 1x2x0,5</v>
      </c>
    </row>
    <row r="99" customFormat="false" ht="15" hidden="false" customHeight="false" outlineLevel="0" collapsed="false">
      <c r="A99" s="2" t="n">
        <v>98</v>
      </c>
      <c r="B99" s="2" t="s">
        <v>171</v>
      </c>
      <c r="C99" s="2" t="n">
        <v>5</v>
      </c>
      <c r="D99" s="2" t="s">
        <v>172</v>
      </c>
      <c r="E99" s="2" t="s">
        <v>186</v>
      </c>
      <c r="F99" s="2" t="s">
        <v>188</v>
      </c>
      <c r="G99" s="2" t="s">
        <v>89</v>
      </c>
      <c r="H99" s="2" t="s">
        <v>90</v>
      </c>
      <c r="I99" s="2" t="s">
        <v>175</v>
      </c>
      <c r="J99" s="2" t="n">
        <v>4.2</v>
      </c>
      <c r="K99" s="2" t="str">
        <f aca="false">H99&amp;" "&amp;I99</f>
        <v>КПСнг(А)-FRHF 1x2x0,5</v>
      </c>
    </row>
    <row r="100" customFormat="false" ht="15" hidden="false" customHeight="false" outlineLevel="0" collapsed="false">
      <c r="A100" s="2" t="n">
        <v>99</v>
      </c>
      <c r="B100" s="2" t="s">
        <v>171</v>
      </c>
      <c r="C100" s="2" t="n">
        <v>5</v>
      </c>
      <c r="D100" s="2" t="s">
        <v>172</v>
      </c>
      <c r="E100" s="2" t="s">
        <v>188</v>
      </c>
      <c r="F100" s="2" t="s">
        <v>189</v>
      </c>
      <c r="G100" s="2" t="s">
        <v>89</v>
      </c>
      <c r="H100" s="2" t="s">
        <v>90</v>
      </c>
      <c r="I100" s="2" t="s">
        <v>175</v>
      </c>
      <c r="J100" s="2" t="n">
        <v>7.4</v>
      </c>
      <c r="K100" s="2" t="str">
        <f aca="false">H100&amp;" "&amp;I100</f>
        <v>КПСнг(А)-FRHF 1x2x0,5</v>
      </c>
    </row>
    <row r="101" customFormat="false" ht="15" hidden="false" customHeight="false" outlineLevel="0" collapsed="false">
      <c r="A101" s="2" t="n">
        <v>100</v>
      </c>
      <c r="B101" s="2" t="s">
        <v>171</v>
      </c>
      <c r="C101" s="2" t="n">
        <v>5</v>
      </c>
      <c r="D101" s="2" t="s">
        <v>172</v>
      </c>
      <c r="E101" s="2" t="s">
        <v>189</v>
      </c>
      <c r="F101" s="2" t="s">
        <v>190</v>
      </c>
      <c r="G101" s="2" t="s">
        <v>89</v>
      </c>
      <c r="H101" s="2" t="s">
        <v>90</v>
      </c>
      <c r="I101" s="2" t="s">
        <v>175</v>
      </c>
      <c r="J101" s="2" t="n">
        <v>3.7</v>
      </c>
      <c r="K101" s="2" t="str">
        <f aca="false">H101&amp;" "&amp;I101</f>
        <v>КПСнг(А)-FRHF 1x2x0,5</v>
      </c>
    </row>
    <row r="102" customFormat="false" ht="15" hidden="false" customHeight="false" outlineLevel="0" collapsed="false">
      <c r="A102" s="2" t="n">
        <v>101</v>
      </c>
      <c r="B102" s="2" t="s">
        <v>171</v>
      </c>
      <c r="C102" s="2" t="n">
        <v>5</v>
      </c>
      <c r="D102" s="2" t="s">
        <v>172</v>
      </c>
      <c r="E102" s="2" t="s">
        <v>190</v>
      </c>
      <c r="F102" s="2" t="s">
        <v>191</v>
      </c>
      <c r="G102" s="2" t="s">
        <v>89</v>
      </c>
      <c r="H102" s="2" t="s">
        <v>90</v>
      </c>
      <c r="I102" s="2" t="s">
        <v>175</v>
      </c>
      <c r="J102" s="2" t="n">
        <v>6.1</v>
      </c>
      <c r="K102" s="2" t="str">
        <f aca="false">H102&amp;" "&amp;I102</f>
        <v>КПСнг(А)-FRHF 1x2x0,5</v>
      </c>
    </row>
    <row r="103" customFormat="false" ht="15" hidden="false" customHeight="false" outlineLevel="0" collapsed="false">
      <c r="A103" s="2" t="n">
        <v>102</v>
      </c>
      <c r="B103" s="2" t="s">
        <v>171</v>
      </c>
      <c r="C103" s="2" t="n">
        <v>5</v>
      </c>
      <c r="D103" s="2" t="s">
        <v>172</v>
      </c>
      <c r="E103" s="2" t="s">
        <v>191</v>
      </c>
      <c r="F103" s="2" t="s">
        <v>192</v>
      </c>
      <c r="G103" s="2" t="s">
        <v>89</v>
      </c>
      <c r="H103" s="2" t="s">
        <v>90</v>
      </c>
      <c r="I103" s="2" t="s">
        <v>175</v>
      </c>
      <c r="J103" s="2" t="n">
        <v>3.4</v>
      </c>
      <c r="K103" s="2" t="str">
        <f aca="false">H103&amp;" "&amp;I103</f>
        <v>КПСнг(А)-FRHF 1x2x0,5</v>
      </c>
    </row>
    <row r="104" customFormat="false" ht="15" hidden="false" customHeight="false" outlineLevel="0" collapsed="false">
      <c r="A104" s="2" t="n">
        <v>103</v>
      </c>
      <c r="B104" s="2" t="s">
        <v>171</v>
      </c>
      <c r="C104" s="2" t="n">
        <v>5</v>
      </c>
      <c r="D104" s="2" t="s">
        <v>172</v>
      </c>
      <c r="E104" s="2" t="s">
        <v>192</v>
      </c>
      <c r="F104" s="2" t="s">
        <v>193</v>
      </c>
      <c r="G104" s="2" t="s">
        <v>89</v>
      </c>
      <c r="H104" s="2" t="s">
        <v>90</v>
      </c>
      <c r="I104" s="2" t="s">
        <v>175</v>
      </c>
      <c r="J104" s="2" t="n">
        <v>6.7</v>
      </c>
      <c r="K104" s="2" t="str">
        <f aca="false">H104&amp;" "&amp;I104</f>
        <v>КПСнг(А)-FRHF 1x2x0,5</v>
      </c>
    </row>
    <row r="105" customFormat="false" ht="15" hidden="false" customHeight="false" outlineLevel="0" collapsed="false">
      <c r="A105" s="2" t="n">
        <v>104</v>
      </c>
      <c r="B105" s="2" t="s">
        <v>171</v>
      </c>
      <c r="C105" s="2" t="n">
        <v>6</v>
      </c>
      <c r="D105" s="2" t="s">
        <v>172</v>
      </c>
      <c r="E105" s="2" t="s">
        <v>193</v>
      </c>
      <c r="F105" s="2" t="s">
        <v>194</v>
      </c>
      <c r="G105" s="2" t="s">
        <v>89</v>
      </c>
      <c r="H105" s="2" t="s">
        <v>90</v>
      </c>
      <c r="I105" s="2" t="s">
        <v>175</v>
      </c>
      <c r="J105" s="2" t="n">
        <v>3.9</v>
      </c>
      <c r="K105" s="2" t="str">
        <f aca="false">H105&amp;" "&amp;I105</f>
        <v>КПСнг(А)-FRHF 1x2x0,5</v>
      </c>
    </row>
    <row r="106" customFormat="false" ht="15" hidden="false" customHeight="false" outlineLevel="0" collapsed="false">
      <c r="A106" s="2" t="n">
        <v>105</v>
      </c>
      <c r="B106" s="2" t="s">
        <v>171</v>
      </c>
      <c r="C106" s="2" t="n">
        <v>6</v>
      </c>
      <c r="D106" s="2" t="s">
        <v>172</v>
      </c>
      <c r="E106" s="2" t="s">
        <v>194</v>
      </c>
      <c r="F106" s="2" t="s">
        <v>195</v>
      </c>
      <c r="G106" s="2" t="s">
        <v>89</v>
      </c>
      <c r="H106" s="2" t="s">
        <v>90</v>
      </c>
      <c r="I106" s="2" t="s">
        <v>175</v>
      </c>
      <c r="J106" s="2" t="n">
        <v>4</v>
      </c>
      <c r="K106" s="2" t="str">
        <f aca="false">H106&amp;" "&amp;I106</f>
        <v>КПСнг(А)-FRHF 1x2x0,5</v>
      </c>
    </row>
    <row r="107" customFormat="false" ht="15" hidden="false" customHeight="false" outlineLevel="0" collapsed="false">
      <c r="A107" s="2" t="n">
        <v>106</v>
      </c>
      <c r="B107" s="2" t="s">
        <v>171</v>
      </c>
      <c r="C107" s="2" t="n">
        <v>6</v>
      </c>
      <c r="D107" s="2" t="s">
        <v>172</v>
      </c>
      <c r="E107" s="2" t="s">
        <v>195</v>
      </c>
      <c r="F107" s="2" t="s">
        <v>196</v>
      </c>
      <c r="G107" s="2" t="s">
        <v>89</v>
      </c>
      <c r="H107" s="2" t="s">
        <v>90</v>
      </c>
      <c r="I107" s="2" t="s">
        <v>175</v>
      </c>
      <c r="J107" s="2" t="n">
        <v>5.4</v>
      </c>
      <c r="K107" s="2" t="str">
        <f aca="false">H107&amp;" "&amp;I107</f>
        <v>КПСнг(А)-FRHF 1x2x0,5</v>
      </c>
    </row>
    <row r="108" customFormat="false" ht="15" hidden="false" customHeight="false" outlineLevel="0" collapsed="false">
      <c r="A108" s="2" t="n">
        <v>107</v>
      </c>
      <c r="B108" s="2" t="s">
        <v>171</v>
      </c>
      <c r="C108" s="2" t="n">
        <v>6</v>
      </c>
      <c r="D108" s="2" t="s">
        <v>172</v>
      </c>
      <c r="E108" s="2" t="s">
        <v>196</v>
      </c>
      <c r="F108" s="2" t="s">
        <v>197</v>
      </c>
      <c r="G108" s="2" t="s">
        <v>89</v>
      </c>
      <c r="H108" s="2" t="s">
        <v>90</v>
      </c>
      <c r="I108" s="2" t="s">
        <v>175</v>
      </c>
      <c r="J108" s="2" t="n">
        <v>6.4</v>
      </c>
      <c r="K108" s="2" t="str">
        <f aca="false">H108&amp;" "&amp;I108</f>
        <v>КПСнг(А)-FRHF 1x2x0,5</v>
      </c>
    </row>
    <row r="109" customFormat="false" ht="15" hidden="false" customHeight="false" outlineLevel="0" collapsed="false">
      <c r="A109" s="2" t="n">
        <v>108</v>
      </c>
      <c r="B109" s="2" t="s">
        <v>171</v>
      </c>
      <c r="C109" s="2" t="n">
        <v>6</v>
      </c>
      <c r="D109" s="2" t="s">
        <v>172</v>
      </c>
      <c r="E109" s="2" t="s">
        <v>197</v>
      </c>
      <c r="F109" s="2" t="s">
        <v>198</v>
      </c>
      <c r="G109" s="2" t="s">
        <v>89</v>
      </c>
      <c r="H109" s="2" t="s">
        <v>90</v>
      </c>
      <c r="I109" s="2" t="s">
        <v>175</v>
      </c>
      <c r="J109" s="2" t="n">
        <v>3.4</v>
      </c>
      <c r="K109" s="2" t="str">
        <f aca="false">H109&amp;" "&amp;I109</f>
        <v>КПСнг(А)-FRHF 1x2x0,5</v>
      </c>
    </row>
    <row r="110" customFormat="false" ht="15" hidden="false" customHeight="false" outlineLevel="0" collapsed="false">
      <c r="A110" s="2" t="n">
        <v>109</v>
      </c>
      <c r="B110" s="2" t="s">
        <v>171</v>
      </c>
      <c r="C110" s="2" t="n">
        <v>6</v>
      </c>
      <c r="D110" s="2" t="s">
        <v>172</v>
      </c>
      <c r="E110" s="2" t="s">
        <v>198</v>
      </c>
      <c r="F110" s="2" t="s">
        <v>199</v>
      </c>
      <c r="G110" s="2" t="s">
        <v>89</v>
      </c>
      <c r="H110" s="2" t="s">
        <v>90</v>
      </c>
      <c r="I110" s="2" t="s">
        <v>175</v>
      </c>
      <c r="J110" s="2" t="n">
        <v>3.1</v>
      </c>
      <c r="K110" s="2" t="str">
        <f aca="false">H110&amp;" "&amp;I110</f>
        <v>КПСнг(А)-FRHF 1x2x0,5</v>
      </c>
    </row>
    <row r="111" customFormat="false" ht="15" hidden="false" customHeight="false" outlineLevel="0" collapsed="false">
      <c r="A111" s="2" t="n">
        <v>110</v>
      </c>
      <c r="B111" s="2" t="s">
        <v>171</v>
      </c>
      <c r="C111" s="2" t="n">
        <v>6</v>
      </c>
      <c r="D111" s="2" t="s">
        <v>172</v>
      </c>
      <c r="E111" s="2" t="s">
        <v>199</v>
      </c>
      <c r="F111" s="2" t="s">
        <v>200</v>
      </c>
      <c r="G111" s="2" t="s">
        <v>89</v>
      </c>
      <c r="H111" s="2" t="s">
        <v>90</v>
      </c>
      <c r="I111" s="2" t="s">
        <v>175</v>
      </c>
      <c r="J111" s="2" t="n">
        <v>8.5</v>
      </c>
      <c r="K111" s="2" t="str">
        <f aca="false">H111&amp;" "&amp;I111</f>
        <v>КПСнг(А)-FRHF 1x2x0,5</v>
      </c>
    </row>
    <row r="112" customFormat="false" ht="15" hidden="false" customHeight="false" outlineLevel="0" collapsed="false">
      <c r="A112" s="2" t="n">
        <v>111</v>
      </c>
      <c r="B112" s="2" t="s">
        <v>171</v>
      </c>
      <c r="C112" s="2" t="n">
        <v>6</v>
      </c>
      <c r="D112" s="2" t="s">
        <v>172</v>
      </c>
      <c r="E112" s="2" t="s">
        <v>200</v>
      </c>
      <c r="F112" s="2" t="s">
        <v>201</v>
      </c>
      <c r="G112" s="2" t="s">
        <v>89</v>
      </c>
      <c r="H112" s="2" t="s">
        <v>90</v>
      </c>
      <c r="I112" s="2" t="s">
        <v>175</v>
      </c>
      <c r="J112" s="2" t="n">
        <v>3.3</v>
      </c>
      <c r="K112" s="2" t="str">
        <f aca="false">H112&amp;" "&amp;I112</f>
        <v>КПСнг(А)-FRHF 1x2x0,5</v>
      </c>
    </row>
    <row r="113" customFormat="false" ht="15" hidden="false" customHeight="false" outlineLevel="0" collapsed="false">
      <c r="A113" s="2" t="n">
        <v>112</v>
      </c>
      <c r="B113" s="2" t="s">
        <v>171</v>
      </c>
      <c r="C113" s="2" t="n">
        <v>6</v>
      </c>
      <c r="D113" s="2" t="s">
        <v>172</v>
      </c>
      <c r="E113" s="2" t="s">
        <v>201</v>
      </c>
      <c r="F113" s="2" t="s">
        <v>202</v>
      </c>
      <c r="G113" s="2" t="s">
        <v>89</v>
      </c>
      <c r="H113" s="2" t="s">
        <v>90</v>
      </c>
      <c r="I113" s="2" t="s">
        <v>175</v>
      </c>
      <c r="J113" s="2" t="n">
        <v>7</v>
      </c>
      <c r="K113" s="2" t="str">
        <f aca="false">H113&amp;" "&amp;I113</f>
        <v>КПСнг(А)-FRHF 1x2x0,5</v>
      </c>
    </row>
    <row r="114" customFormat="false" ht="15" hidden="false" customHeight="false" outlineLevel="0" collapsed="false">
      <c r="A114" s="2" t="n">
        <v>113</v>
      </c>
      <c r="B114" s="2" t="s">
        <v>171</v>
      </c>
      <c r="C114" s="2" t="n">
        <v>6</v>
      </c>
      <c r="D114" s="2" t="s">
        <v>172</v>
      </c>
      <c r="E114" s="2" t="s">
        <v>202</v>
      </c>
      <c r="F114" s="2" t="s">
        <v>203</v>
      </c>
      <c r="G114" s="2" t="s">
        <v>89</v>
      </c>
      <c r="H114" s="2" t="s">
        <v>90</v>
      </c>
      <c r="I114" s="2" t="s">
        <v>175</v>
      </c>
      <c r="J114" s="2" t="n">
        <v>2</v>
      </c>
      <c r="K114" s="2" t="str">
        <f aca="false">H114&amp;" "&amp;I114</f>
        <v>КПСнг(А)-FRHF 1x2x0,5</v>
      </c>
    </row>
    <row r="115" customFormat="false" ht="15" hidden="false" customHeight="false" outlineLevel="0" collapsed="false">
      <c r="A115" s="2" t="n">
        <v>114</v>
      </c>
      <c r="B115" s="2" t="s">
        <v>171</v>
      </c>
      <c r="C115" s="2" t="n">
        <v>6</v>
      </c>
      <c r="D115" s="2" t="s">
        <v>172</v>
      </c>
      <c r="E115" s="2" t="s">
        <v>203</v>
      </c>
      <c r="F115" s="2" t="s">
        <v>204</v>
      </c>
      <c r="G115" s="2" t="s">
        <v>89</v>
      </c>
      <c r="H115" s="2" t="s">
        <v>90</v>
      </c>
      <c r="I115" s="2" t="s">
        <v>175</v>
      </c>
      <c r="J115" s="2" t="n">
        <v>3.6</v>
      </c>
      <c r="K115" s="2" t="str">
        <f aca="false">H115&amp;" "&amp;I115</f>
        <v>КПСнг(А)-FRHF 1x2x0,5</v>
      </c>
    </row>
    <row r="116" customFormat="false" ht="15" hidden="false" customHeight="false" outlineLevel="0" collapsed="false">
      <c r="A116" s="2" t="n">
        <v>115</v>
      </c>
      <c r="B116" s="2" t="s">
        <v>171</v>
      </c>
      <c r="C116" s="2" t="n">
        <v>6</v>
      </c>
      <c r="D116" s="2" t="s">
        <v>172</v>
      </c>
      <c r="E116" s="2" t="s">
        <v>204</v>
      </c>
      <c r="F116" s="2" t="s">
        <v>205</v>
      </c>
      <c r="G116" s="2" t="s">
        <v>89</v>
      </c>
      <c r="H116" s="2" t="s">
        <v>90</v>
      </c>
      <c r="I116" s="2" t="s">
        <v>175</v>
      </c>
      <c r="J116" s="2" t="n">
        <v>3.2</v>
      </c>
      <c r="K116" s="2" t="str">
        <f aca="false">H116&amp;" "&amp;I116</f>
        <v>КПСнг(А)-FRHF 1x2x0,5</v>
      </c>
    </row>
    <row r="117" customFormat="false" ht="15" hidden="false" customHeight="false" outlineLevel="0" collapsed="false">
      <c r="A117" s="2" t="n">
        <v>116</v>
      </c>
      <c r="B117" s="2" t="s">
        <v>171</v>
      </c>
      <c r="C117" s="2" t="n">
        <v>6</v>
      </c>
      <c r="D117" s="2" t="s">
        <v>172</v>
      </c>
      <c r="E117" s="2" t="s">
        <v>205</v>
      </c>
      <c r="F117" s="2" t="s">
        <v>206</v>
      </c>
      <c r="G117" s="2" t="s">
        <v>89</v>
      </c>
      <c r="H117" s="2" t="s">
        <v>90</v>
      </c>
      <c r="I117" s="2" t="s">
        <v>175</v>
      </c>
      <c r="J117" s="2" t="n">
        <v>2.8</v>
      </c>
      <c r="K117" s="2" t="str">
        <f aca="false">H117&amp;" "&amp;I117</f>
        <v>КПСнг(А)-FRHF 1x2x0,5</v>
      </c>
    </row>
    <row r="118" customFormat="false" ht="15" hidden="false" customHeight="false" outlineLevel="0" collapsed="false">
      <c r="A118" s="2" t="n">
        <v>117</v>
      </c>
      <c r="B118" s="2" t="s">
        <v>171</v>
      </c>
      <c r="C118" s="2" t="n">
        <v>6</v>
      </c>
      <c r="D118" s="2" t="s">
        <v>172</v>
      </c>
      <c r="E118" s="2" t="s">
        <v>206</v>
      </c>
      <c r="F118" s="2" t="s">
        <v>207</v>
      </c>
      <c r="G118" s="2" t="s">
        <v>89</v>
      </c>
      <c r="H118" s="2" t="s">
        <v>90</v>
      </c>
      <c r="I118" s="2" t="s">
        <v>175</v>
      </c>
      <c r="J118" s="2" t="n">
        <v>8.6</v>
      </c>
      <c r="K118" s="2" t="str">
        <f aca="false">H118&amp;" "&amp;I118</f>
        <v>КПСнг(А)-FRHF 1x2x0,5</v>
      </c>
    </row>
    <row r="119" customFormat="false" ht="15" hidden="false" customHeight="false" outlineLevel="0" collapsed="false">
      <c r="A119" s="2" t="n">
        <v>118</v>
      </c>
      <c r="B119" s="2" t="s">
        <v>171</v>
      </c>
      <c r="C119" s="2" t="n">
        <v>6</v>
      </c>
      <c r="D119" s="2" t="s">
        <v>172</v>
      </c>
      <c r="E119" s="2" t="s">
        <v>207</v>
      </c>
      <c r="F119" s="2" t="s">
        <v>208</v>
      </c>
      <c r="G119" s="2" t="s">
        <v>89</v>
      </c>
      <c r="H119" s="2" t="s">
        <v>90</v>
      </c>
      <c r="I119" s="2" t="s">
        <v>175</v>
      </c>
      <c r="J119" s="2" t="n">
        <v>3.3</v>
      </c>
      <c r="K119" s="2" t="str">
        <f aca="false">H119&amp;" "&amp;I119</f>
        <v>КПСнг(А)-FRHF 1x2x0,5</v>
      </c>
    </row>
    <row r="120" customFormat="false" ht="15" hidden="false" customHeight="false" outlineLevel="0" collapsed="false">
      <c r="A120" s="2" t="n">
        <v>119</v>
      </c>
      <c r="B120" s="2" t="s">
        <v>171</v>
      </c>
      <c r="C120" s="2" t="n">
        <v>6</v>
      </c>
      <c r="D120" s="2" t="s">
        <v>172</v>
      </c>
      <c r="E120" s="2" t="s">
        <v>208</v>
      </c>
      <c r="F120" s="2" t="s">
        <v>209</v>
      </c>
      <c r="G120" s="2" t="s">
        <v>89</v>
      </c>
      <c r="H120" s="2" t="s">
        <v>90</v>
      </c>
      <c r="I120" s="2" t="s">
        <v>175</v>
      </c>
      <c r="J120" s="2" t="n">
        <v>8.2</v>
      </c>
      <c r="K120" s="2" t="str">
        <f aca="false">H120&amp;" "&amp;I120</f>
        <v>КПСнг(А)-FRHF 1x2x0,5</v>
      </c>
    </row>
    <row r="121" customFormat="false" ht="15" hidden="false" customHeight="false" outlineLevel="0" collapsed="false">
      <c r="A121" s="2" t="n">
        <v>120</v>
      </c>
      <c r="B121" s="2" t="s">
        <v>171</v>
      </c>
      <c r="C121" s="2" t="n">
        <v>6</v>
      </c>
      <c r="D121" s="2" t="s">
        <v>172</v>
      </c>
      <c r="E121" s="2" t="s">
        <v>209</v>
      </c>
      <c r="F121" s="2" t="s">
        <v>210</v>
      </c>
      <c r="G121" s="2" t="s">
        <v>89</v>
      </c>
      <c r="H121" s="2" t="s">
        <v>90</v>
      </c>
      <c r="I121" s="2" t="s">
        <v>175</v>
      </c>
      <c r="J121" s="2" t="n">
        <v>4.2</v>
      </c>
      <c r="K121" s="2" t="str">
        <f aca="false">H121&amp;" "&amp;I121</f>
        <v>КПСнг(А)-FRHF 1x2x0,5</v>
      </c>
    </row>
    <row r="122" customFormat="false" ht="15" hidden="false" customHeight="false" outlineLevel="0" collapsed="false">
      <c r="A122" s="2" t="n">
        <v>121</v>
      </c>
      <c r="B122" s="2" t="s">
        <v>171</v>
      </c>
      <c r="C122" s="2" t="n">
        <v>6</v>
      </c>
      <c r="D122" s="2" t="s">
        <v>172</v>
      </c>
      <c r="E122" s="2" t="s">
        <v>210</v>
      </c>
      <c r="F122" s="2" t="s">
        <v>211</v>
      </c>
      <c r="G122" s="2" t="s">
        <v>89</v>
      </c>
      <c r="H122" s="2" t="s">
        <v>90</v>
      </c>
      <c r="I122" s="2" t="s">
        <v>175</v>
      </c>
      <c r="J122" s="2" t="n">
        <v>8.7</v>
      </c>
      <c r="K122" s="2" t="str">
        <f aca="false">H122&amp;" "&amp;I122</f>
        <v>КПСнг(А)-FRHF 1x2x0,5</v>
      </c>
    </row>
    <row r="123" customFormat="false" ht="15" hidden="false" customHeight="false" outlineLevel="0" collapsed="false">
      <c r="A123" s="2" t="n">
        <v>122</v>
      </c>
      <c r="B123" s="2" t="s">
        <v>171</v>
      </c>
      <c r="C123" s="2" t="n">
        <v>6</v>
      </c>
      <c r="D123" s="2" t="s">
        <v>172</v>
      </c>
      <c r="E123" s="2" t="s">
        <v>211</v>
      </c>
      <c r="F123" s="2" t="s">
        <v>212</v>
      </c>
      <c r="G123" s="2" t="s">
        <v>89</v>
      </c>
      <c r="H123" s="2" t="s">
        <v>90</v>
      </c>
      <c r="I123" s="2" t="s">
        <v>175</v>
      </c>
      <c r="J123" s="2" t="n">
        <v>3.3</v>
      </c>
      <c r="K123" s="2" t="str">
        <f aca="false">H123&amp;" "&amp;I123</f>
        <v>КПСнг(А)-FRHF 1x2x0,5</v>
      </c>
    </row>
    <row r="124" customFormat="false" ht="15" hidden="false" customHeight="false" outlineLevel="0" collapsed="false">
      <c r="A124" s="2" t="n">
        <v>123</v>
      </c>
      <c r="B124" s="2" t="s">
        <v>171</v>
      </c>
      <c r="C124" s="2" t="n">
        <v>6</v>
      </c>
      <c r="D124" s="2" t="s">
        <v>172</v>
      </c>
      <c r="E124" s="2" t="s">
        <v>212</v>
      </c>
      <c r="F124" s="2" t="s">
        <v>213</v>
      </c>
      <c r="G124" s="2" t="s">
        <v>89</v>
      </c>
      <c r="H124" s="2" t="s">
        <v>90</v>
      </c>
      <c r="I124" s="2" t="s">
        <v>175</v>
      </c>
      <c r="J124" s="2" t="n">
        <v>8.2</v>
      </c>
      <c r="K124" s="2" t="str">
        <f aca="false">H124&amp;" "&amp;I124</f>
        <v>КПСнг(А)-FRHF 1x2x0,5</v>
      </c>
    </row>
    <row r="125" customFormat="false" ht="15" hidden="false" customHeight="false" outlineLevel="0" collapsed="false">
      <c r="A125" s="2" t="n">
        <v>124</v>
      </c>
      <c r="B125" s="2" t="s">
        <v>171</v>
      </c>
      <c r="C125" s="2" t="n">
        <v>6</v>
      </c>
      <c r="D125" s="2" t="s">
        <v>172</v>
      </c>
      <c r="E125" s="2" t="s">
        <v>213</v>
      </c>
      <c r="F125" s="2" t="s">
        <v>214</v>
      </c>
      <c r="G125" s="2" t="s">
        <v>89</v>
      </c>
      <c r="H125" s="2" t="s">
        <v>90</v>
      </c>
      <c r="I125" s="2" t="s">
        <v>175</v>
      </c>
      <c r="J125" s="2" t="n">
        <v>3.9</v>
      </c>
      <c r="K125" s="2" t="str">
        <f aca="false">H125&amp;" "&amp;I125</f>
        <v>КПСнг(А)-FRHF 1x2x0,5</v>
      </c>
    </row>
    <row r="126" customFormat="false" ht="15" hidden="false" customHeight="false" outlineLevel="0" collapsed="false">
      <c r="A126" s="2" t="n">
        <v>125</v>
      </c>
      <c r="B126" s="2" t="s">
        <v>171</v>
      </c>
      <c r="C126" s="2" t="n">
        <v>6</v>
      </c>
      <c r="D126" s="2" t="s">
        <v>172</v>
      </c>
      <c r="E126" s="2" t="s">
        <v>214</v>
      </c>
      <c r="F126" s="2" t="s">
        <v>215</v>
      </c>
      <c r="G126" s="2" t="s">
        <v>89</v>
      </c>
      <c r="H126" s="2" t="s">
        <v>90</v>
      </c>
      <c r="I126" s="2" t="s">
        <v>175</v>
      </c>
      <c r="J126" s="2" t="n">
        <v>8.5</v>
      </c>
      <c r="K126" s="2" t="str">
        <f aca="false">H126&amp;" "&amp;I126</f>
        <v>КПСнг(А)-FRHF 1x2x0,5</v>
      </c>
    </row>
    <row r="127" customFormat="false" ht="15" hidden="false" customHeight="false" outlineLevel="0" collapsed="false">
      <c r="A127" s="2" t="n">
        <v>126</v>
      </c>
      <c r="B127" s="2" t="s">
        <v>171</v>
      </c>
      <c r="C127" s="2" t="n">
        <v>6</v>
      </c>
      <c r="D127" s="2" t="s">
        <v>172</v>
      </c>
      <c r="E127" s="2" t="s">
        <v>215</v>
      </c>
      <c r="F127" s="2" t="s">
        <v>216</v>
      </c>
      <c r="G127" s="2" t="s">
        <v>89</v>
      </c>
      <c r="H127" s="2" t="s">
        <v>90</v>
      </c>
      <c r="I127" s="2" t="s">
        <v>175</v>
      </c>
      <c r="J127" s="2" t="n">
        <v>3.3</v>
      </c>
      <c r="K127" s="2" t="str">
        <f aca="false">H127&amp;" "&amp;I127</f>
        <v>КПСнг(А)-FRHF 1x2x0,5</v>
      </c>
    </row>
    <row r="128" customFormat="false" ht="15" hidden="false" customHeight="false" outlineLevel="0" collapsed="false">
      <c r="A128" s="2" t="n">
        <v>127</v>
      </c>
      <c r="B128" s="2" t="s">
        <v>171</v>
      </c>
      <c r="C128" s="2" t="n">
        <v>6</v>
      </c>
      <c r="D128" s="2" t="s">
        <v>172</v>
      </c>
      <c r="E128" s="2" t="s">
        <v>216</v>
      </c>
      <c r="F128" s="2" t="s">
        <v>217</v>
      </c>
      <c r="G128" s="2" t="s">
        <v>89</v>
      </c>
      <c r="H128" s="2" t="s">
        <v>90</v>
      </c>
      <c r="I128" s="2" t="s">
        <v>175</v>
      </c>
      <c r="J128" s="2" t="n">
        <v>7.8</v>
      </c>
      <c r="K128" s="2" t="str">
        <f aca="false">H128&amp;" "&amp;I128</f>
        <v>КПСнг(А)-FRHF 1x2x0,5</v>
      </c>
    </row>
    <row r="129" customFormat="false" ht="15" hidden="false" customHeight="false" outlineLevel="0" collapsed="false">
      <c r="A129" s="2" t="n">
        <v>128</v>
      </c>
      <c r="B129" s="2" t="s">
        <v>171</v>
      </c>
      <c r="C129" s="2" t="n">
        <v>6</v>
      </c>
      <c r="D129" s="2" t="s">
        <v>172</v>
      </c>
      <c r="E129" s="2" t="s">
        <v>217</v>
      </c>
      <c r="F129" s="2" t="s">
        <v>218</v>
      </c>
      <c r="G129" s="2" t="s">
        <v>89</v>
      </c>
      <c r="H129" s="2" t="s">
        <v>90</v>
      </c>
      <c r="I129" s="2" t="s">
        <v>175</v>
      </c>
      <c r="J129" s="2" t="n">
        <v>3.2</v>
      </c>
      <c r="K129" s="2" t="str">
        <f aca="false">H129&amp;" "&amp;I129</f>
        <v>КПСнг(А)-FRHF 1x2x0,5</v>
      </c>
    </row>
    <row r="130" customFormat="false" ht="15" hidden="false" customHeight="false" outlineLevel="0" collapsed="false">
      <c r="A130" s="2" t="n">
        <v>129</v>
      </c>
      <c r="B130" s="2" t="s">
        <v>171</v>
      </c>
      <c r="C130" s="2" t="n">
        <v>6</v>
      </c>
      <c r="D130" s="2" t="s">
        <v>172</v>
      </c>
      <c r="E130" s="2" t="s">
        <v>218</v>
      </c>
      <c r="F130" s="2" t="s">
        <v>219</v>
      </c>
      <c r="G130" s="2" t="s">
        <v>89</v>
      </c>
      <c r="H130" s="2" t="s">
        <v>90</v>
      </c>
      <c r="I130" s="2" t="s">
        <v>175</v>
      </c>
      <c r="J130" s="2" t="n">
        <v>2.9</v>
      </c>
      <c r="K130" s="2" t="str">
        <f aca="false">H130&amp;" "&amp;I130</f>
        <v>КПСнг(А)-FRHF 1x2x0,5</v>
      </c>
    </row>
    <row r="131" customFormat="false" ht="15" hidden="false" customHeight="false" outlineLevel="0" collapsed="false">
      <c r="A131" s="2" t="n">
        <v>130</v>
      </c>
      <c r="B131" s="2" t="s">
        <v>171</v>
      </c>
      <c r="C131" s="2" t="n">
        <v>6</v>
      </c>
      <c r="D131" s="2" t="s">
        <v>172</v>
      </c>
      <c r="E131" s="2" t="s">
        <v>219</v>
      </c>
      <c r="F131" s="2" t="s">
        <v>220</v>
      </c>
      <c r="G131" s="2" t="s">
        <v>89</v>
      </c>
      <c r="H131" s="2" t="s">
        <v>90</v>
      </c>
      <c r="I131" s="2" t="s">
        <v>175</v>
      </c>
      <c r="J131" s="2" t="n">
        <v>8.3</v>
      </c>
      <c r="K131" s="2" t="str">
        <f aca="false">H131&amp;" "&amp;I131</f>
        <v>КПСнг(А)-FRHF 1x2x0,5</v>
      </c>
    </row>
    <row r="132" customFormat="false" ht="15" hidden="false" customHeight="false" outlineLevel="0" collapsed="false">
      <c r="A132" s="2" t="n">
        <v>131</v>
      </c>
      <c r="B132" s="2" t="s">
        <v>171</v>
      </c>
      <c r="C132" s="2" t="n">
        <v>6</v>
      </c>
      <c r="D132" s="2" t="s">
        <v>172</v>
      </c>
      <c r="E132" s="2" t="s">
        <v>220</v>
      </c>
      <c r="F132" s="2" t="s">
        <v>221</v>
      </c>
      <c r="G132" s="2" t="s">
        <v>89</v>
      </c>
      <c r="H132" s="2" t="s">
        <v>90</v>
      </c>
      <c r="I132" s="2" t="s">
        <v>175</v>
      </c>
      <c r="J132" s="2" t="n">
        <v>3.3</v>
      </c>
      <c r="K132" s="2" t="str">
        <f aca="false">H132&amp;" "&amp;I132</f>
        <v>КПСнг(А)-FRHF 1x2x0,5</v>
      </c>
    </row>
    <row r="133" customFormat="false" ht="15" hidden="false" customHeight="false" outlineLevel="0" collapsed="false">
      <c r="A133" s="2" t="n">
        <v>132</v>
      </c>
      <c r="B133" s="2" t="s">
        <v>171</v>
      </c>
      <c r="C133" s="2" t="n">
        <v>7</v>
      </c>
      <c r="D133" s="2" t="s">
        <v>172</v>
      </c>
      <c r="E133" s="2" t="s">
        <v>221</v>
      </c>
      <c r="F133" s="2" t="s">
        <v>222</v>
      </c>
      <c r="G133" s="2" t="s">
        <v>89</v>
      </c>
      <c r="H133" s="2" t="s">
        <v>90</v>
      </c>
      <c r="I133" s="2" t="s">
        <v>175</v>
      </c>
      <c r="J133" s="2" t="n">
        <v>8.6</v>
      </c>
      <c r="K133" s="2" t="str">
        <f aca="false">H133&amp;" "&amp;I133</f>
        <v>КПСнг(А)-FRHF 1x2x0,5</v>
      </c>
    </row>
    <row r="134" customFormat="false" ht="15" hidden="false" customHeight="false" outlineLevel="0" collapsed="false">
      <c r="A134" s="2" t="n">
        <v>133</v>
      </c>
      <c r="B134" s="2" t="s">
        <v>171</v>
      </c>
      <c r="C134" s="2" t="n">
        <v>7</v>
      </c>
      <c r="D134" s="2" t="s">
        <v>172</v>
      </c>
      <c r="E134" s="2" t="s">
        <v>222</v>
      </c>
      <c r="F134" s="2" t="s">
        <v>223</v>
      </c>
      <c r="G134" s="2" t="s">
        <v>89</v>
      </c>
      <c r="H134" s="2" t="s">
        <v>90</v>
      </c>
      <c r="I134" s="2" t="s">
        <v>175</v>
      </c>
      <c r="J134" s="2" t="n">
        <v>9</v>
      </c>
      <c r="K134" s="2" t="str">
        <f aca="false">H134&amp;" "&amp;I134</f>
        <v>КПСнг(А)-FRHF 1x2x0,5</v>
      </c>
    </row>
    <row r="135" customFormat="false" ht="15" hidden="false" customHeight="false" outlineLevel="0" collapsed="false">
      <c r="A135" s="2" t="n">
        <v>134</v>
      </c>
      <c r="B135" s="2" t="s">
        <v>171</v>
      </c>
      <c r="C135" s="2" t="n">
        <v>7</v>
      </c>
      <c r="D135" s="2" t="s">
        <v>172</v>
      </c>
      <c r="E135" s="2" t="s">
        <v>223</v>
      </c>
      <c r="F135" s="2" t="s">
        <v>224</v>
      </c>
      <c r="G135" s="2" t="s">
        <v>89</v>
      </c>
      <c r="H135" s="2" t="s">
        <v>90</v>
      </c>
      <c r="I135" s="2" t="s">
        <v>175</v>
      </c>
      <c r="J135" s="2" t="n">
        <v>8.9</v>
      </c>
      <c r="K135" s="2" t="str">
        <f aca="false">H135&amp;" "&amp;I135</f>
        <v>КПСнг(А)-FRHF 1x2x0,5</v>
      </c>
    </row>
    <row r="136" customFormat="false" ht="15" hidden="false" customHeight="false" outlineLevel="0" collapsed="false">
      <c r="A136" s="2" t="n">
        <v>135</v>
      </c>
      <c r="B136" s="2" t="s">
        <v>171</v>
      </c>
      <c r="C136" s="2" t="n">
        <v>7</v>
      </c>
      <c r="D136" s="2" t="s">
        <v>172</v>
      </c>
      <c r="E136" s="2" t="s">
        <v>224</v>
      </c>
      <c r="F136" s="2" t="s">
        <v>225</v>
      </c>
      <c r="G136" s="2" t="s">
        <v>89</v>
      </c>
      <c r="H136" s="2" t="s">
        <v>90</v>
      </c>
      <c r="I136" s="2" t="s">
        <v>175</v>
      </c>
      <c r="J136" s="2" t="n">
        <v>3.9</v>
      </c>
      <c r="K136" s="2" t="str">
        <f aca="false">H136&amp;" "&amp;I136</f>
        <v>КПСнг(А)-FRHF 1x2x0,5</v>
      </c>
    </row>
    <row r="137" customFormat="false" ht="15" hidden="false" customHeight="false" outlineLevel="0" collapsed="false">
      <c r="A137" s="2" t="n">
        <v>136</v>
      </c>
      <c r="B137" s="2" t="s">
        <v>171</v>
      </c>
      <c r="C137" s="2" t="n">
        <v>7</v>
      </c>
      <c r="D137" s="2" t="s">
        <v>172</v>
      </c>
      <c r="E137" s="2" t="s">
        <v>225</v>
      </c>
      <c r="F137" s="2" t="s">
        <v>226</v>
      </c>
      <c r="G137" s="2" t="s">
        <v>89</v>
      </c>
      <c r="H137" s="2" t="s">
        <v>90</v>
      </c>
      <c r="I137" s="2" t="s">
        <v>175</v>
      </c>
      <c r="J137" s="2" t="n">
        <v>2.4</v>
      </c>
      <c r="K137" s="2" t="str">
        <f aca="false">H137&amp;" "&amp;I137</f>
        <v>КПСнг(А)-FRHF 1x2x0,5</v>
      </c>
    </row>
    <row r="138" customFormat="false" ht="15" hidden="false" customHeight="false" outlineLevel="0" collapsed="false">
      <c r="A138" s="2" t="n">
        <v>137</v>
      </c>
      <c r="B138" s="2" t="s">
        <v>171</v>
      </c>
      <c r="C138" s="2" t="n">
        <v>7</v>
      </c>
      <c r="D138" s="2" t="s">
        <v>172</v>
      </c>
      <c r="E138" s="2" t="s">
        <v>226</v>
      </c>
      <c r="F138" s="2" t="s">
        <v>227</v>
      </c>
      <c r="G138" s="2" t="s">
        <v>89</v>
      </c>
      <c r="H138" s="2" t="s">
        <v>90</v>
      </c>
      <c r="I138" s="2" t="s">
        <v>175</v>
      </c>
      <c r="J138" s="2" t="n">
        <v>3.7</v>
      </c>
      <c r="K138" s="2" t="str">
        <f aca="false">H138&amp;" "&amp;I138</f>
        <v>КПСнг(А)-FRHF 1x2x0,5</v>
      </c>
    </row>
    <row r="139" customFormat="false" ht="15" hidden="false" customHeight="false" outlineLevel="0" collapsed="false">
      <c r="A139" s="2" t="n">
        <v>138</v>
      </c>
      <c r="B139" s="2" t="s">
        <v>171</v>
      </c>
      <c r="C139" s="2" t="n">
        <v>7</v>
      </c>
      <c r="D139" s="2" t="s">
        <v>172</v>
      </c>
      <c r="E139" s="2" t="s">
        <v>227</v>
      </c>
      <c r="F139" s="2" t="s">
        <v>228</v>
      </c>
      <c r="G139" s="2" t="s">
        <v>89</v>
      </c>
      <c r="H139" s="2" t="s">
        <v>90</v>
      </c>
      <c r="I139" s="2" t="s">
        <v>175</v>
      </c>
      <c r="J139" s="2" t="n">
        <v>6.4</v>
      </c>
      <c r="K139" s="2" t="str">
        <f aca="false">H139&amp;" "&amp;I139</f>
        <v>КПСнг(А)-FRHF 1x2x0,5</v>
      </c>
    </row>
    <row r="140" customFormat="false" ht="15" hidden="false" customHeight="false" outlineLevel="0" collapsed="false">
      <c r="A140" s="2" t="n">
        <v>139</v>
      </c>
      <c r="B140" s="2" t="s">
        <v>171</v>
      </c>
      <c r="C140" s="2" t="n">
        <v>7</v>
      </c>
      <c r="D140" s="2" t="s">
        <v>172</v>
      </c>
      <c r="E140" s="2" t="s">
        <v>228</v>
      </c>
      <c r="F140" s="2" t="s">
        <v>229</v>
      </c>
      <c r="G140" s="2" t="s">
        <v>89</v>
      </c>
      <c r="H140" s="2" t="s">
        <v>90</v>
      </c>
      <c r="I140" s="2" t="s">
        <v>175</v>
      </c>
      <c r="J140" s="2" t="n">
        <v>3.3</v>
      </c>
      <c r="K140" s="2" t="str">
        <f aca="false">H140&amp;" "&amp;I140</f>
        <v>КПСнг(А)-FRHF 1x2x0,5</v>
      </c>
    </row>
    <row r="141" customFormat="false" ht="15" hidden="false" customHeight="false" outlineLevel="0" collapsed="false">
      <c r="A141" s="2" t="n">
        <v>140</v>
      </c>
      <c r="B141" s="2" t="s">
        <v>171</v>
      </c>
      <c r="C141" s="2" t="n">
        <v>7</v>
      </c>
      <c r="D141" s="2" t="s">
        <v>172</v>
      </c>
      <c r="E141" s="2" t="s">
        <v>229</v>
      </c>
      <c r="F141" s="2" t="s">
        <v>173</v>
      </c>
      <c r="G141" s="2" t="s">
        <v>89</v>
      </c>
      <c r="H141" s="2" t="s">
        <v>90</v>
      </c>
      <c r="I141" s="2" t="s">
        <v>175</v>
      </c>
      <c r="J141" s="2" t="n">
        <v>5.4</v>
      </c>
      <c r="K141" s="2" t="str">
        <f aca="false">H141&amp;" "&amp;I141</f>
        <v>КПСнг(А)-FRHF 1x2x0,5</v>
      </c>
    </row>
    <row r="142" customFormat="false" ht="15" hidden="false" customHeight="false" outlineLevel="0" collapsed="false">
      <c r="A142" s="2" t="n">
        <v>141</v>
      </c>
      <c r="B142" s="2" t="s">
        <v>171</v>
      </c>
      <c r="C142" s="2" t="n">
        <v>7</v>
      </c>
      <c r="D142" s="2" t="s">
        <v>230</v>
      </c>
      <c r="E142" s="2" t="s">
        <v>205</v>
      </c>
      <c r="F142" s="2" t="s">
        <v>231</v>
      </c>
      <c r="G142" s="2" t="s">
        <v>232</v>
      </c>
      <c r="H142" s="2" t="s">
        <v>90</v>
      </c>
      <c r="I142" s="2" t="s">
        <v>233</v>
      </c>
      <c r="J142" s="2" t="n">
        <v>1.2</v>
      </c>
      <c r="K142" s="2" t="str">
        <f aca="false">H142&amp;" "&amp;I142</f>
        <v>КПСнг(А)-FRHF 1x2x0,75</v>
      </c>
    </row>
    <row r="143" customFormat="false" ht="15" hidden="false" customHeight="false" outlineLevel="0" collapsed="false">
      <c r="A143" s="2" t="n">
        <v>142</v>
      </c>
      <c r="B143" s="2" t="s">
        <v>171</v>
      </c>
      <c r="C143" s="2" t="n">
        <v>7</v>
      </c>
      <c r="D143" s="2" t="s">
        <v>230</v>
      </c>
      <c r="E143" s="2" t="s">
        <v>231</v>
      </c>
      <c r="F143" s="2" t="s">
        <v>198</v>
      </c>
      <c r="G143" s="2" t="s">
        <v>232</v>
      </c>
      <c r="H143" s="2" t="s">
        <v>90</v>
      </c>
      <c r="I143" s="2" t="s">
        <v>233</v>
      </c>
      <c r="J143" s="2" t="n">
        <v>4.8</v>
      </c>
      <c r="K143" s="2" t="str">
        <f aca="false">H143&amp;" "&amp;I143</f>
        <v>КПСнг(А)-FRHF 1x2x0,75</v>
      </c>
    </row>
    <row r="144" customFormat="false" ht="15" hidden="false" customHeight="false" outlineLevel="0" collapsed="false">
      <c r="A144" s="2" t="n">
        <v>143</v>
      </c>
      <c r="B144" s="2" t="s">
        <v>171</v>
      </c>
      <c r="C144" s="2" t="n">
        <v>7</v>
      </c>
      <c r="D144" s="2" t="s">
        <v>230</v>
      </c>
      <c r="E144" s="2" t="s">
        <v>231</v>
      </c>
      <c r="F144" s="2" t="s">
        <v>234</v>
      </c>
      <c r="G144" s="2" t="s">
        <v>232</v>
      </c>
      <c r="H144" s="2" t="s">
        <v>90</v>
      </c>
      <c r="I144" s="2" t="s">
        <v>233</v>
      </c>
      <c r="J144" s="2" t="n">
        <v>10.9</v>
      </c>
      <c r="K144" s="2" t="str">
        <f aca="false">H144&amp;" "&amp;I144</f>
        <v>КПСнг(А)-FRHF 1x2x0,75</v>
      </c>
    </row>
    <row r="145" customFormat="false" ht="15" hidden="false" customHeight="false" outlineLevel="0" collapsed="false">
      <c r="A145" s="2" t="n">
        <v>144</v>
      </c>
      <c r="B145" s="2" t="s">
        <v>171</v>
      </c>
      <c r="C145" s="2" t="n">
        <v>7</v>
      </c>
      <c r="D145" s="2" t="s">
        <v>230</v>
      </c>
      <c r="E145" s="2" t="s">
        <v>234</v>
      </c>
      <c r="F145" s="2" t="s">
        <v>218</v>
      </c>
      <c r="G145" s="2" t="s">
        <v>232</v>
      </c>
      <c r="H145" s="2" t="s">
        <v>90</v>
      </c>
      <c r="I145" s="2" t="s">
        <v>233</v>
      </c>
      <c r="J145" s="2" t="n">
        <v>1.2</v>
      </c>
      <c r="K145" s="2" t="str">
        <f aca="false">H145&amp;" "&amp;I145</f>
        <v>КПСнг(А)-FRHF 1x2x0,75</v>
      </c>
    </row>
    <row r="146" customFormat="false" ht="15" hidden="false" customHeight="false" outlineLevel="0" collapsed="false">
      <c r="A146" s="2" t="n">
        <v>145</v>
      </c>
      <c r="B146" s="2" t="s">
        <v>171</v>
      </c>
      <c r="C146" s="2" t="n">
        <v>7</v>
      </c>
      <c r="D146" s="2" t="s">
        <v>230</v>
      </c>
      <c r="E146" s="2" t="s">
        <v>234</v>
      </c>
      <c r="F146" s="2" t="s">
        <v>224</v>
      </c>
      <c r="G146" s="2" t="s">
        <v>232</v>
      </c>
      <c r="H146" s="2" t="s">
        <v>90</v>
      </c>
      <c r="I146" s="2" t="s">
        <v>233</v>
      </c>
      <c r="J146" s="2" t="n">
        <v>7</v>
      </c>
      <c r="K146" s="2" t="str">
        <f aca="false">H146&amp;" "&amp;I146</f>
        <v>КПСнг(А)-FRHF 1x2x0,75</v>
      </c>
    </row>
    <row r="147" customFormat="false" ht="15" hidden="false" customHeight="false" outlineLevel="0" collapsed="false">
      <c r="A147" s="2" t="n">
        <v>146</v>
      </c>
      <c r="B147" s="2" t="s">
        <v>171</v>
      </c>
      <c r="C147" s="2" t="n">
        <v>7</v>
      </c>
      <c r="D147" s="2" t="s">
        <v>230</v>
      </c>
      <c r="E147" s="2" t="s">
        <v>224</v>
      </c>
      <c r="F147" s="2" t="s">
        <v>235</v>
      </c>
      <c r="G147" s="2" t="s">
        <v>232</v>
      </c>
      <c r="H147" s="2" t="s">
        <v>90</v>
      </c>
      <c r="I147" s="2" t="s">
        <v>233</v>
      </c>
      <c r="J147" s="2" t="n">
        <v>6.2</v>
      </c>
      <c r="K147" s="2" t="str">
        <f aca="false">H147&amp;" "&amp;I147</f>
        <v>КПСнг(А)-FRHF 1x2x0,75</v>
      </c>
    </row>
    <row r="148" customFormat="false" ht="15" hidden="false" customHeight="false" outlineLevel="0" collapsed="false">
      <c r="A148" s="2" t="n">
        <v>147</v>
      </c>
      <c r="B148" s="2" t="s">
        <v>171</v>
      </c>
      <c r="C148" s="2" t="n">
        <v>7</v>
      </c>
      <c r="D148" s="2" t="s">
        <v>230</v>
      </c>
      <c r="E148" s="2" t="s">
        <v>235</v>
      </c>
      <c r="F148" s="2" t="s">
        <v>173</v>
      </c>
      <c r="G148" s="2" t="s">
        <v>232</v>
      </c>
      <c r="H148" s="2" t="s">
        <v>90</v>
      </c>
      <c r="I148" s="2" t="s">
        <v>233</v>
      </c>
      <c r="J148" s="2" t="n">
        <v>1.3</v>
      </c>
      <c r="K148" s="2" t="str">
        <f aca="false">H148&amp;" "&amp;I148</f>
        <v>КПСнг(А)-FRHF 1x2x0,75</v>
      </c>
    </row>
    <row r="149" customFormat="false" ht="15" hidden="false" customHeight="false" outlineLevel="0" collapsed="false">
      <c r="A149" s="2" t="n">
        <v>148</v>
      </c>
      <c r="B149" s="2" t="s">
        <v>236</v>
      </c>
      <c r="C149" s="2" t="n">
        <v>7</v>
      </c>
      <c r="D149" s="2" t="s">
        <v>237</v>
      </c>
      <c r="E149" s="2" t="s">
        <v>238</v>
      </c>
      <c r="F149" s="2" t="s">
        <v>239</v>
      </c>
      <c r="G149" s="2" t="s">
        <v>240</v>
      </c>
      <c r="H149" s="2" t="s">
        <v>150</v>
      </c>
      <c r="I149" s="2" t="s">
        <v>17</v>
      </c>
      <c r="J149" s="2" t="n">
        <v>11</v>
      </c>
      <c r="K149" s="2" t="str">
        <f aca="false">H149&amp;" "&amp;I149</f>
        <v>UTP-4P-Cat.5e 4х2х0,5</v>
      </c>
    </row>
    <row r="150" customFormat="false" ht="15" hidden="false" customHeight="false" outlineLevel="0" collapsed="false">
      <c r="A150" s="2" t="n">
        <v>149</v>
      </c>
      <c r="B150" s="2" t="s">
        <v>236</v>
      </c>
      <c r="C150" s="2" t="n">
        <v>7</v>
      </c>
      <c r="D150" s="2" t="s">
        <v>241</v>
      </c>
      <c r="E150" s="2" t="s">
        <v>238</v>
      </c>
      <c r="F150" s="2" t="s">
        <v>242</v>
      </c>
      <c r="G150" s="2" t="s">
        <v>240</v>
      </c>
      <c r="H150" s="2" t="s">
        <v>150</v>
      </c>
      <c r="I150" s="2" t="s">
        <v>17</v>
      </c>
      <c r="J150" s="2" t="n">
        <v>12</v>
      </c>
      <c r="K150" s="2" t="str">
        <f aca="false">H150&amp;" "&amp;I150</f>
        <v>UTP-4P-Cat.5e 4х2х0,5</v>
      </c>
    </row>
    <row r="151" customFormat="false" ht="15" hidden="false" customHeight="false" outlineLevel="0" collapsed="false">
      <c r="A151" s="2" t="n">
        <v>150</v>
      </c>
      <c r="B151" s="2" t="s">
        <v>236</v>
      </c>
      <c r="C151" s="2" t="n">
        <v>7</v>
      </c>
      <c r="D151" s="2" t="s">
        <v>243</v>
      </c>
      <c r="E151" s="2" t="s">
        <v>238</v>
      </c>
      <c r="F151" s="2" t="s">
        <v>244</v>
      </c>
      <c r="G151" s="2" t="s">
        <v>240</v>
      </c>
      <c r="H151" s="2" t="s">
        <v>150</v>
      </c>
      <c r="I151" s="2" t="s">
        <v>17</v>
      </c>
      <c r="J151" s="2" t="n">
        <v>12</v>
      </c>
      <c r="K151" s="2" t="str">
        <f aca="false">H151&amp;" "&amp;I151</f>
        <v>UTP-4P-Cat.5e 4х2х0,5</v>
      </c>
    </row>
    <row r="152" customFormat="false" ht="15" hidden="false" customHeight="false" outlineLevel="0" collapsed="false">
      <c r="A152" s="2" t="n">
        <v>151</v>
      </c>
      <c r="B152" s="2" t="s">
        <v>236</v>
      </c>
      <c r="C152" s="2" t="n">
        <v>7</v>
      </c>
      <c r="D152" s="2" t="s">
        <v>245</v>
      </c>
      <c r="E152" s="2" t="s">
        <v>238</v>
      </c>
      <c r="F152" s="2" t="s">
        <v>246</v>
      </c>
      <c r="G152" s="2" t="s">
        <v>240</v>
      </c>
      <c r="H152" s="2" t="s">
        <v>150</v>
      </c>
      <c r="I152" s="2" t="s">
        <v>17</v>
      </c>
      <c r="J152" s="2" t="n">
        <v>12</v>
      </c>
      <c r="K152" s="2" t="str">
        <f aca="false">H152&amp;" "&amp;I152</f>
        <v>UTP-4P-Cat.5e 4х2х0,5</v>
      </c>
    </row>
    <row r="153" customFormat="false" ht="15" hidden="false" customHeight="false" outlineLevel="0" collapsed="false">
      <c r="A153" s="2" t="n">
        <v>152</v>
      </c>
      <c r="B153" s="2" t="s">
        <v>236</v>
      </c>
      <c r="C153" s="2" t="n">
        <v>7</v>
      </c>
      <c r="D153" s="2" t="s">
        <v>247</v>
      </c>
      <c r="E153" s="2" t="s">
        <v>238</v>
      </c>
      <c r="F153" s="2" t="s">
        <v>248</v>
      </c>
      <c r="G153" s="2" t="s">
        <v>240</v>
      </c>
      <c r="H153" s="2" t="s">
        <v>150</v>
      </c>
      <c r="I153" s="2" t="s">
        <v>17</v>
      </c>
      <c r="J153" s="2" t="n">
        <v>26</v>
      </c>
      <c r="K153" s="2" t="str">
        <f aca="false">H153&amp;" "&amp;I153</f>
        <v>UTP-4P-Cat.5e 4х2х0,5</v>
      </c>
    </row>
    <row r="154" customFormat="false" ht="15" hidden="false" customHeight="false" outlineLevel="0" collapsed="false">
      <c r="A154" s="2" t="n">
        <v>153</v>
      </c>
      <c r="B154" s="2" t="s">
        <v>236</v>
      </c>
      <c r="C154" s="2" t="n">
        <v>7</v>
      </c>
      <c r="D154" s="2" t="s">
        <v>249</v>
      </c>
      <c r="E154" s="2" t="s">
        <v>238</v>
      </c>
      <c r="F154" s="2" t="s">
        <v>250</v>
      </c>
      <c r="G154" s="2" t="s">
        <v>240</v>
      </c>
      <c r="H154" s="2" t="s">
        <v>150</v>
      </c>
      <c r="I154" s="2" t="s">
        <v>17</v>
      </c>
      <c r="J154" s="2" t="n">
        <v>11</v>
      </c>
      <c r="K154" s="2" t="str">
        <f aca="false">H154&amp;" "&amp;I154</f>
        <v>UTP-4P-Cat.5e 4х2х0,5</v>
      </c>
    </row>
    <row r="155" customFormat="false" ht="15" hidden="false" customHeight="false" outlineLevel="0" collapsed="false">
      <c r="A155" s="2" t="n">
        <v>154</v>
      </c>
      <c r="B155" s="2" t="s">
        <v>236</v>
      </c>
      <c r="C155" s="2" t="n">
        <v>7</v>
      </c>
      <c r="D155" s="2" t="s">
        <v>251</v>
      </c>
      <c r="E155" s="2" t="s">
        <v>238</v>
      </c>
      <c r="F155" s="2" t="s">
        <v>252</v>
      </c>
      <c r="G155" s="2" t="s">
        <v>240</v>
      </c>
      <c r="H155" s="2" t="s">
        <v>150</v>
      </c>
      <c r="I155" s="2" t="s">
        <v>17</v>
      </c>
      <c r="J155" s="2" t="n">
        <v>10</v>
      </c>
      <c r="K155" s="2" t="str">
        <f aca="false">H155&amp;" "&amp;I155</f>
        <v>UTP-4P-Cat.5e 4х2х0,5</v>
      </c>
    </row>
    <row r="156" customFormat="false" ht="15" hidden="false" customHeight="false" outlineLevel="0" collapsed="false">
      <c r="A156" s="2" t="n">
        <v>155</v>
      </c>
      <c r="B156" s="2" t="s">
        <v>236</v>
      </c>
      <c r="C156" s="2" t="n">
        <v>8</v>
      </c>
      <c r="D156" s="2" t="s">
        <v>253</v>
      </c>
      <c r="E156" s="2" t="s">
        <v>238</v>
      </c>
      <c r="F156" s="2" t="s">
        <v>254</v>
      </c>
      <c r="G156" s="2" t="s">
        <v>240</v>
      </c>
      <c r="H156" s="2" t="s">
        <v>150</v>
      </c>
      <c r="I156" s="2" t="s">
        <v>17</v>
      </c>
      <c r="J156" s="2" t="n">
        <v>11</v>
      </c>
      <c r="K156" s="2" t="str">
        <f aca="false">H156&amp;" "&amp;I156</f>
        <v>UTP-4P-Cat.5e 4х2х0,5</v>
      </c>
    </row>
    <row r="157" customFormat="false" ht="15" hidden="false" customHeight="false" outlineLevel="0" collapsed="false">
      <c r="A157" s="2" t="n">
        <v>156</v>
      </c>
      <c r="B157" s="2" t="s">
        <v>236</v>
      </c>
      <c r="C157" s="2" t="n">
        <v>8</v>
      </c>
      <c r="D157" s="2" t="s">
        <v>255</v>
      </c>
      <c r="E157" s="2" t="s">
        <v>238</v>
      </c>
      <c r="F157" s="2" t="s">
        <v>256</v>
      </c>
      <c r="G157" s="2" t="s">
        <v>240</v>
      </c>
      <c r="H157" s="2" t="s">
        <v>150</v>
      </c>
      <c r="I157" s="2" t="s">
        <v>17</v>
      </c>
      <c r="J157" s="2" t="n">
        <v>12</v>
      </c>
      <c r="K157" s="2" t="str">
        <f aca="false">H157&amp;" "&amp;I157</f>
        <v>UTP-4P-Cat.5e 4х2х0,5</v>
      </c>
    </row>
    <row r="158" customFormat="false" ht="15" hidden="false" customHeight="false" outlineLevel="0" collapsed="false">
      <c r="A158" s="2" t="n">
        <v>157</v>
      </c>
      <c r="B158" s="2" t="s">
        <v>236</v>
      </c>
      <c r="C158" s="2" t="n">
        <v>8</v>
      </c>
      <c r="D158" s="2" t="s">
        <v>257</v>
      </c>
      <c r="E158" s="2" t="s">
        <v>238</v>
      </c>
      <c r="F158" s="2" t="s">
        <v>258</v>
      </c>
      <c r="G158" s="2" t="s">
        <v>259</v>
      </c>
      <c r="H158" s="2" t="s">
        <v>150</v>
      </c>
      <c r="I158" s="2" t="s">
        <v>17</v>
      </c>
      <c r="J158" s="2" t="n">
        <v>12</v>
      </c>
      <c r="K158" s="2" t="str">
        <f aca="false">H158&amp;" "&amp;I158</f>
        <v>UTP-4P-Cat.5e 4х2х0,5</v>
      </c>
    </row>
    <row r="159" customFormat="false" ht="15" hidden="false" customHeight="false" outlineLevel="0" collapsed="false">
      <c r="A159" s="2" t="n">
        <v>158</v>
      </c>
      <c r="B159" s="2" t="s">
        <v>236</v>
      </c>
      <c r="C159" s="2" t="n">
        <v>8</v>
      </c>
      <c r="D159" s="2" t="s">
        <v>260</v>
      </c>
      <c r="E159" s="2" t="s">
        <v>238</v>
      </c>
      <c r="F159" s="2" t="s">
        <v>261</v>
      </c>
      <c r="G159" s="2" t="s">
        <v>259</v>
      </c>
      <c r="H159" s="2" t="s">
        <v>150</v>
      </c>
      <c r="I159" s="2" t="s">
        <v>17</v>
      </c>
      <c r="J159" s="2" t="n">
        <v>26</v>
      </c>
      <c r="K159" s="2" t="str">
        <f aca="false">H159&amp;" "&amp;I159</f>
        <v>UTP-4P-Cat.5e 4х2х0,5</v>
      </c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4" t="s">
        <v>262</v>
      </c>
      <c r="J160" s="4" t="n">
        <f aca="false">SUM(J2:J159)</f>
        <v>1767.7</v>
      </c>
      <c r="K16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9.55" hidden="false" customHeight="false" outlineLevel="0" collapsed="false">
      <c r="A1" s="1" t="s">
        <v>263</v>
      </c>
      <c r="B1" s="1" t="s">
        <v>8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11</v>
      </c>
      <c r="D2" s="2" t="n">
        <f aca="false">COUNTIFS('КЖ строки'!$H:$H,A2,'КЖ строки'!$I:$I,B2)</f>
        <v>23</v>
      </c>
      <c r="E2" s="2" t="n">
        <f aca="false">SUMIFS('КЖ строки'!$J:$J,'КЖ строки'!$H:$H,A2,'КЖ строки'!$I:$I,B2)</f>
        <v>513</v>
      </c>
      <c r="F2" s="5"/>
      <c r="G2" s="2" t="str">
        <f aca="false">IF(F2="","",F2-E2)</f>
        <v/>
      </c>
      <c r="H2" s="5"/>
      <c r="I2" s="5"/>
    </row>
    <row r="3" customFormat="false" ht="15" hidden="false" customHeight="false" outlineLevel="0" collapsed="false">
      <c r="A3" s="2" t="s">
        <v>66</v>
      </c>
      <c r="B3" s="2" t="s">
        <v>67</v>
      </c>
      <c r="C3" s="2" t="s">
        <v>62</v>
      </c>
      <c r="D3" s="2" t="n">
        <f aca="false">COUNTIFS('КЖ строки'!$H:$H,A3,'КЖ строки'!$I:$I,B3)</f>
        <v>4</v>
      </c>
      <c r="E3" s="2" t="n">
        <f aca="false">SUMIFS('КЖ строки'!$J:$J,'КЖ строки'!$H:$H,A3,'КЖ строки'!$I:$I,B3)</f>
        <v>95</v>
      </c>
      <c r="F3" s="5"/>
      <c r="G3" s="2" t="str">
        <f aca="false">IF(F3="","",F3-E3)</f>
        <v/>
      </c>
      <c r="H3" s="5"/>
      <c r="I3" s="5"/>
    </row>
    <row r="4" customFormat="false" ht="15" hidden="false" customHeight="false" outlineLevel="0" collapsed="false">
      <c r="A4" s="2" t="s">
        <v>79</v>
      </c>
      <c r="B4" s="2" t="s">
        <v>80</v>
      </c>
      <c r="C4" s="2" t="s">
        <v>74</v>
      </c>
      <c r="D4" s="2" t="n">
        <f aca="false">COUNTIFS('КЖ строки'!$H:$H,A4,'КЖ строки'!$I:$I,B4)</f>
        <v>2</v>
      </c>
      <c r="E4" s="2" t="n">
        <f aca="false">SUMIFS('КЖ строки'!$J:$J,'КЖ строки'!$H:$H,A4,'КЖ строки'!$I:$I,B4)</f>
        <v>300</v>
      </c>
      <c r="F4" s="5"/>
      <c r="G4" s="2" t="str">
        <f aca="false">IF(F4="","",F4-E4)</f>
        <v/>
      </c>
      <c r="H4" s="5"/>
      <c r="I4" s="5"/>
    </row>
    <row r="5" customFormat="false" ht="15" hidden="false" customHeight="false" outlineLevel="0" collapsed="false">
      <c r="A5" s="2" t="s">
        <v>90</v>
      </c>
      <c r="B5" s="2" t="s">
        <v>91</v>
      </c>
      <c r="C5" s="2" t="s">
        <v>85</v>
      </c>
      <c r="D5" s="2" t="n">
        <f aca="false">COUNTIFS('КЖ строки'!$H:$H,A5,'КЖ строки'!$I:$I,B5)</f>
        <v>27</v>
      </c>
      <c r="E5" s="2" t="n">
        <f aca="false">SUMIFS('КЖ строки'!$J:$J,'КЖ строки'!$H:$H,A5,'КЖ строки'!$I:$I,B5)</f>
        <v>150.6</v>
      </c>
      <c r="F5" s="5"/>
      <c r="G5" s="2" t="str">
        <f aca="false">IF(F5="","",F5-E5)</f>
        <v/>
      </c>
      <c r="H5" s="5"/>
      <c r="I5" s="5"/>
    </row>
    <row r="6" customFormat="false" ht="15" hidden="false" customHeight="false" outlineLevel="0" collapsed="false">
      <c r="A6" s="2" t="s">
        <v>90</v>
      </c>
      <c r="B6" s="2" t="s">
        <v>123</v>
      </c>
      <c r="C6" s="2" t="s">
        <v>118</v>
      </c>
      <c r="D6" s="2" t="n">
        <f aca="false">COUNTIFS('КЖ строки'!$H:$H,A6,'КЖ строки'!$I:$I,B6)</f>
        <v>18</v>
      </c>
      <c r="E6" s="2" t="n">
        <f aca="false">SUMIFS('КЖ строки'!$J:$J,'КЖ строки'!$H:$H,A6,'КЖ строки'!$I:$I,B6)</f>
        <v>89.3</v>
      </c>
      <c r="F6" s="5"/>
      <c r="G6" s="2" t="str">
        <f aca="false">IF(F6="","",F6-E6)</f>
        <v/>
      </c>
      <c r="H6" s="5"/>
      <c r="I6" s="5"/>
    </row>
    <row r="7" customFormat="false" ht="15" hidden="false" customHeight="false" outlineLevel="0" collapsed="false">
      <c r="A7" s="2" t="s">
        <v>143</v>
      </c>
      <c r="B7" s="2" t="s">
        <v>144</v>
      </c>
      <c r="C7" s="2" t="s">
        <v>118</v>
      </c>
      <c r="D7" s="2" t="n">
        <f aca="false">COUNTIFS('КЖ строки'!$H:$H,A7,'КЖ строки'!$I:$I,B7)</f>
        <v>1</v>
      </c>
      <c r="E7" s="2" t="n">
        <f aca="false">SUMIFS('КЖ строки'!$J:$J,'КЖ строки'!$H:$H,A7,'КЖ строки'!$I:$I,B7)</f>
        <v>15</v>
      </c>
      <c r="F7" s="5"/>
      <c r="G7" s="2" t="str">
        <f aca="false">IF(F7="","",F7-E7)</f>
        <v/>
      </c>
      <c r="H7" s="5"/>
      <c r="I7" s="5"/>
    </row>
    <row r="8" customFormat="false" ht="15" hidden="false" customHeight="false" outlineLevel="0" collapsed="false">
      <c r="A8" s="2" t="s">
        <v>150</v>
      </c>
      <c r="B8" s="2" t="s">
        <v>151</v>
      </c>
      <c r="C8" s="2" t="s">
        <v>145</v>
      </c>
      <c r="D8" s="2" t="n">
        <f aca="false">COUNTIFS('КЖ строки'!$H:$H,A8,'КЖ строки'!$I:$I,B8)</f>
        <v>9</v>
      </c>
      <c r="E8" s="2" t="n">
        <f aca="false">SUMIFS('КЖ строки'!$J:$J,'КЖ строки'!$H:$H,A8,'КЖ строки'!$I:$I,B8)</f>
        <v>126</v>
      </c>
      <c r="F8" s="5"/>
      <c r="G8" s="2" t="str">
        <f aca="false">IF(F8="","",F8-E8)</f>
        <v/>
      </c>
      <c r="H8" s="5"/>
      <c r="I8" s="5"/>
    </row>
    <row r="9" customFormat="false" ht="15" hidden="false" customHeight="false" outlineLevel="0" collapsed="false">
      <c r="A9" s="2" t="s">
        <v>90</v>
      </c>
      <c r="B9" s="2" t="s">
        <v>175</v>
      </c>
      <c r="C9" s="2" t="s">
        <v>171</v>
      </c>
      <c r="D9" s="2" t="n">
        <f aca="false">COUNTIFS('КЖ строки'!$H:$H,A9,'КЖ строки'!$I:$I,B9)</f>
        <v>56</v>
      </c>
      <c r="E9" s="2" t="n">
        <f aca="false">SUMIFS('КЖ строки'!$J:$J,'КЖ строки'!$H:$H,A9,'КЖ строки'!$I:$I,B9)</f>
        <v>291.2</v>
      </c>
      <c r="F9" s="5"/>
      <c r="G9" s="2" t="str">
        <f aca="false">IF(F9="","",F9-E9)</f>
        <v/>
      </c>
      <c r="H9" s="5"/>
      <c r="I9" s="5"/>
    </row>
    <row r="10" customFormat="false" ht="15" hidden="false" customHeight="false" outlineLevel="0" collapsed="false">
      <c r="A10" s="2" t="s">
        <v>90</v>
      </c>
      <c r="B10" s="2" t="s">
        <v>233</v>
      </c>
      <c r="C10" s="2" t="s">
        <v>171</v>
      </c>
      <c r="D10" s="2" t="n">
        <f aca="false">COUNTIFS('КЖ строки'!$H:$H,A10,'КЖ строки'!$I:$I,B10)</f>
        <v>7</v>
      </c>
      <c r="E10" s="2" t="n">
        <f aca="false">SUMIFS('КЖ строки'!$J:$J,'КЖ строки'!$H:$H,A10,'КЖ строки'!$I:$I,B10)</f>
        <v>32.6</v>
      </c>
      <c r="F10" s="5"/>
      <c r="G10" s="2" t="str">
        <f aca="false">IF(F10="","",F10-E10)</f>
        <v/>
      </c>
      <c r="H10" s="5"/>
      <c r="I10" s="5"/>
    </row>
    <row r="11" customFormat="false" ht="15" hidden="false" customHeight="false" outlineLevel="0" collapsed="false">
      <c r="A11" s="2" t="s">
        <v>150</v>
      </c>
      <c r="B11" s="2" t="s">
        <v>17</v>
      </c>
      <c r="C11" s="2" t="s">
        <v>236</v>
      </c>
      <c r="D11" s="2" t="n">
        <f aca="false">COUNTIFS('КЖ строки'!$H:$H,A11,'КЖ строки'!$I:$I,B11)</f>
        <v>11</v>
      </c>
      <c r="E11" s="2" t="n">
        <f aca="false">SUMIFS('КЖ строки'!$J:$J,'КЖ строки'!$H:$H,A11,'КЖ строки'!$I:$I,B11)</f>
        <v>155</v>
      </c>
      <c r="F11" s="5"/>
      <c r="G11" s="2" t="str">
        <f aca="false">IF(F11="","",F11-E11)</f>
        <v/>
      </c>
      <c r="H11" s="5"/>
      <c r="I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6" t="s">
        <v>271</v>
      </c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6" t="s">
        <v>272</v>
      </c>
      <c r="B14" s="3"/>
      <c r="C14" s="3"/>
      <c r="D14" s="3"/>
      <c r="E14" s="3"/>
      <c r="F14" s="3"/>
      <c r="G14" s="3"/>
      <c r="H14" s="3"/>
      <c r="I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18"/>
  </cols>
  <sheetData>
    <row r="1" customFormat="false" ht="26.85" hidden="false" customHeight="false" outlineLevel="0" collapsed="false">
      <c r="A1" s="1" t="s">
        <v>1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</row>
    <row r="2" customFormat="false" ht="15" hidden="false" customHeight="false" outlineLevel="0" collapsed="false">
      <c r="A2" s="2" t="s">
        <v>85</v>
      </c>
      <c r="B2" s="2" t="s">
        <v>279</v>
      </c>
      <c r="C2" s="2" t="s">
        <v>280</v>
      </c>
      <c r="D2" s="2" t="s">
        <v>281</v>
      </c>
      <c r="E2" s="2" t="n">
        <v>17</v>
      </c>
      <c r="F2" s="2" t="s">
        <v>282</v>
      </c>
      <c r="G2" s="5"/>
    </row>
    <row r="3" customFormat="false" ht="26.85" hidden="false" customHeight="false" outlineLevel="0" collapsed="false">
      <c r="A3" s="2" t="s">
        <v>85</v>
      </c>
      <c r="B3" s="2" t="s">
        <v>279</v>
      </c>
      <c r="C3" s="2" t="s">
        <v>283</v>
      </c>
      <c r="D3" s="2" t="s">
        <v>284</v>
      </c>
      <c r="E3" s="2" t="n">
        <v>3</v>
      </c>
      <c r="F3" s="2" t="s">
        <v>285</v>
      </c>
      <c r="G3" s="5"/>
    </row>
    <row r="4" customFormat="false" ht="26.85" hidden="false" customHeight="false" outlineLevel="0" collapsed="false">
      <c r="A4" s="2" t="s">
        <v>85</v>
      </c>
      <c r="B4" s="2" t="s">
        <v>279</v>
      </c>
      <c r="C4" s="2" t="s">
        <v>286</v>
      </c>
      <c r="D4" s="2" t="s">
        <v>287</v>
      </c>
      <c r="E4" s="2" t="n">
        <v>3</v>
      </c>
      <c r="F4" s="2" t="s">
        <v>288</v>
      </c>
      <c r="G4" s="5"/>
    </row>
    <row r="5" customFormat="false" ht="15" hidden="false" customHeight="false" outlineLevel="0" collapsed="false">
      <c r="A5" s="2" t="s">
        <v>85</v>
      </c>
      <c r="B5" s="2" t="s">
        <v>279</v>
      </c>
      <c r="C5" s="2" t="s">
        <v>289</v>
      </c>
      <c r="D5" s="2" t="s">
        <v>290</v>
      </c>
      <c r="E5" s="2" t="n">
        <v>0</v>
      </c>
      <c r="F5" s="2" t="s">
        <v>291</v>
      </c>
      <c r="G5" s="5"/>
    </row>
    <row r="6" customFormat="false" ht="15" hidden="false" customHeight="false" outlineLevel="0" collapsed="false">
      <c r="A6" s="2" t="s">
        <v>85</v>
      </c>
      <c r="B6" s="2" t="s">
        <v>279</v>
      </c>
      <c r="C6" s="2" t="s">
        <v>292</v>
      </c>
      <c r="D6" s="2" t="s">
        <v>293</v>
      </c>
      <c r="E6" s="2" t="n">
        <v>1</v>
      </c>
      <c r="F6" s="2" t="s">
        <v>87</v>
      </c>
      <c r="G6" s="5"/>
    </row>
    <row r="7" customFormat="false" ht="15" hidden="false" customHeight="false" outlineLevel="0" collapsed="false">
      <c r="A7" s="2" t="s">
        <v>85</v>
      </c>
      <c r="B7" s="2" t="s">
        <v>279</v>
      </c>
      <c r="C7" s="2" t="s">
        <v>294</v>
      </c>
      <c r="D7" s="2" t="s">
        <v>295</v>
      </c>
      <c r="E7" s="2" t="n">
        <v>1</v>
      </c>
      <c r="F7" s="2" t="s">
        <v>296</v>
      </c>
      <c r="G7" s="5"/>
    </row>
    <row r="8" customFormat="false" ht="26.85" hidden="false" customHeight="false" outlineLevel="0" collapsed="false">
      <c r="A8" s="2" t="s">
        <v>85</v>
      </c>
      <c r="B8" s="2" t="s">
        <v>279</v>
      </c>
      <c r="C8" s="2" t="s">
        <v>297</v>
      </c>
      <c r="D8" s="2" t="s">
        <v>298</v>
      </c>
      <c r="E8" s="2" t="n">
        <v>1</v>
      </c>
      <c r="F8" s="2" t="s">
        <v>299</v>
      </c>
      <c r="G8" s="5"/>
    </row>
    <row r="9" customFormat="false" ht="15" hidden="false" customHeight="false" outlineLevel="0" collapsed="false">
      <c r="A9" s="2" t="s">
        <v>85</v>
      </c>
      <c r="B9" s="2" t="s">
        <v>279</v>
      </c>
      <c r="C9" s="2" t="s">
        <v>300</v>
      </c>
      <c r="D9" s="2" t="s">
        <v>301</v>
      </c>
      <c r="E9" s="2" t="n">
        <v>1</v>
      </c>
      <c r="F9" s="2"/>
      <c r="G9" s="5"/>
    </row>
    <row r="10" customFormat="false" ht="15" hidden="false" customHeight="false" outlineLevel="0" collapsed="false">
      <c r="A10" s="2" t="s">
        <v>302</v>
      </c>
      <c r="B10" s="2" t="s">
        <v>303</v>
      </c>
      <c r="C10" s="2" t="s">
        <v>304</v>
      </c>
      <c r="D10" s="2" t="s">
        <v>305</v>
      </c>
      <c r="E10" s="2" t="n">
        <v>17</v>
      </c>
      <c r="F10" s="2" t="s">
        <v>306</v>
      </c>
      <c r="G10" s="5"/>
    </row>
    <row r="11" customFormat="false" ht="15" hidden="false" customHeight="false" outlineLevel="0" collapsed="false">
      <c r="A11" s="2" t="s">
        <v>302</v>
      </c>
      <c r="B11" s="2" t="s">
        <v>303</v>
      </c>
      <c r="C11" s="2" t="s">
        <v>307</v>
      </c>
      <c r="D11" s="2" t="s">
        <v>308</v>
      </c>
      <c r="E11" s="2" t="n">
        <v>1</v>
      </c>
      <c r="F11" s="2" t="s">
        <v>120</v>
      </c>
      <c r="G11" s="5"/>
    </row>
    <row r="12" customFormat="false" ht="15" hidden="false" customHeight="false" outlineLevel="0" collapsed="false">
      <c r="A12" s="2" t="s">
        <v>145</v>
      </c>
      <c r="B12" s="2" t="s">
        <v>309</v>
      </c>
      <c r="C12" s="2" t="s">
        <v>292</v>
      </c>
      <c r="D12" s="2" t="s">
        <v>310</v>
      </c>
      <c r="E12" s="2" t="n">
        <v>3</v>
      </c>
      <c r="F12" s="2" t="s">
        <v>311</v>
      </c>
      <c r="G12" s="5"/>
    </row>
    <row r="13" customFormat="false" ht="15" hidden="false" customHeight="false" outlineLevel="0" collapsed="false">
      <c r="A13" s="2" t="s">
        <v>145</v>
      </c>
      <c r="B13" s="2" t="s">
        <v>309</v>
      </c>
      <c r="C13" s="2" t="s">
        <v>294</v>
      </c>
      <c r="D13" s="2" t="s">
        <v>312</v>
      </c>
      <c r="E13" s="2" t="n">
        <v>1</v>
      </c>
      <c r="F13" s="2" t="s">
        <v>313</v>
      </c>
      <c r="G13" s="5"/>
    </row>
    <row r="14" customFormat="false" ht="26.85" hidden="false" customHeight="false" outlineLevel="0" collapsed="false">
      <c r="A14" s="2" t="s">
        <v>145</v>
      </c>
      <c r="B14" s="2" t="s">
        <v>309</v>
      </c>
      <c r="C14" s="2" t="s">
        <v>314</v>
      </c>
      <c r="D14" s="2" t="s">
        <v>315</v>
      </c>
      <c r="E14" s="2" t="n">
        <v>3</v>
      </c>
      <c r="F14" s="2" t="s">
        <v>316</v>
      </c>
      <c r="G14" s="5"/>
    </row>
    <row r="15" customFormat="false" ht="15" hidden="false" customHeight="false" outlineLevel="0" collapsed="false">
      <c r="A15" s="2" t="s">
        <v>11</v>
      </c>
      <c r="B15" s="2" t="s">
        <v>317</v>
      </c>
      <c r="C15" s="2" t="s">
        <v>318</v>
      </c>
      <c r="D15" s="2" t="s">
        <v>319</v>
      </c>
      <c r="E15" s="2" t="n">
        <v>23</v>
      </c>
      <c r="F15" s="2" t="s">
        <v>320</v>
      </c>
      <c r="G15" s="5"/>
    </row>
    <row r="16" customFormat="false" ht="15" hidden="false" customHeight="false" outlineLevel="0" collapsed="false">
      <c r="A16" s="2" t="s">
        <v>11</v>
      </c>
      <c r="B16" s="2" t="s">
        <v>317</v>
      </c>
      <c r="C16" s="2" t="s">
        <v>321</v>
      </c>
      <c r="D16" s="2" t="s">
        <v>322</v>
      </c>
      <c r="E16" s="2" t="n">
        <v>4</v>
      </c>
      <c r="F16" s="2" t="s">
        <v>323</v>
      </c>
      <c r="G16" s="5"/>
    </row>
    <row r="17" customFormat="false" ht="15" hidden="false" customHeight="false" outlineLevel="0" collapsed="false">
      <c r="A17" s="2" t="s">
        <v>11</v>
      </c>
      <c r="B17" s="2" t="s">
        <v>317</v>
      </c>
      <c r="C17" s="2" t="s">
        <v>324</v>
      </c>
      <c r="D17" s="2" t="s">
        <v>325</v>
      </c>
      <c r="E17" s="2" t="n">
        <v>1</v>
      </c>
      <c r="F17" s="2" t="s">
        <v>326</v>
      </c>
      <c r="G17" s="5"/>
    </row>
    <row r="18" customFormat="false" ht="15" hidden="false" customHeight="false" outlineLevel="0" collapsed="false">
      <c r="A18" s="2" t="s">
        <v>236</v>
      </c>
      <c r="B18" s="2" t="s">
        <v>327</v>
      </c>
      <c r="C18" s="2" t="s">
        <v>328</v>
      </c>
      <c r="D18" s="2" t="s">
        <v>329</v>
      </c>
      <c r="E18" s="2" t="n">
        <v>6</v>
      </c>
      <c r="F18" s="2" t="s">
        <v>330</v>
      </c>
      <c r="G18" s="5"/>
    </row>
    <row r="19" customFormat="false" ht="15" hidden="false" customHeight="false" outlineLevel="0" collapsed="false">
      <c r="A19" s="2" t="s">
        <v>236</v>
      </c>
      <c r="B19" s="2" t="s">
        <v>327</v>
      </c>
      <c r="C19" s="2" t="s">
        <v>331</v>
      </c>
      <c r="D19" s="2" t="s">
        <v>332</v>
      </c>
      <c r="E19" s="2" t="n">
        <v>6</v>
      </c>
      <c r="F19" s="2" t="s">
        <v>333</v>
      </c>
      <c r="G19" s="5"/>
    </row>
    <row r="20" customFormat="false" ht="26.85" hidden="false" customHeight="false" outlineLevel="0" collapsed="false">
      <c r="A20" s="2" t="s">
        <v>171</v>
      </c>
      <c r="B20" s="2" t="s">
        <v>334</v>
      </c>
      <c r="C20" s="2" t="s">
        <v>335</v>
      </c>
      <c r="D20" s="2" t="s">
        <v>336</v>
      </c>
      <c r="E20" s="2" t="n">
        <v>18</v>
      </c>
      <c r="F20" s="2"/>
      <c r="G20" s="5"/>
    </row>
    <row r="21" customFormat="false" ht="26.85" hidden="false" customHeight="false" outlineLevel="0" collapsed="false">
      <c r="A21" s="2" t="s">
        <v>171</v>
      </c>
      <c r="B21" s="2" t="s">
        <v>334</v>
      </c>
      <c r="C21" s="2" t="s">
        <v>337</v>
      </c>
      <c r="D21" s="2" t="s">
        <v>338</v>
      </c>
      <c r="E21" s="2" t="n">
        <v>13</v>
      </c>
      <c r="F21" s="2"/>
      <c r="G21" s="5"/>
    </row>
    <row r="22" customFormat="false" ht="15" hidden="false" customHeight="false" outlineLevel="0" collapsed="false">
      <c r="A22" s="2" t="s">
        <v>171</v>
      </c>
      <c r="B22" s="2" t="s">
        <v>334</v>
      </c>
      <c r="C22" s="2" t="s">
        <v>339</v>
      </c>
      <c r="D22" s="2" t="s">
        <v>340</v>
      </c>
      <c r="E22" s="2" t="n">
        <v>12</v>
      </c>
      <c r="F22" s="2" t="s">
        <v>341</v>
      </c>
      <c r="G22" s="5"/>
    </row>
    <row r="23" customFormat="false" ht="26.85" hidden="false" customHeight="false" outlineLevel="0" collapsed="false">
      <c r="A23" s="2" t="s">
        <v>171</v>
      </c>
      <c r="B23" s="2" t="s">
        <v>334</v>
      </c>
      <c r="C23" s="2" t="s">
        <v>342</v>
      </c>
      <c r="D23" s="2" t="s">
        <v>343</v>
      </c>
      <c r="E23" s="2" t="n">
        <v>8</v>
      </c>
      <c r="F23" s="2" t="s">
        <v>344</v>
      </c>
      <c r="G23" s="5"/>
    </row>
    <row r="24" customFormat="false" ht="15" hidden="false" customHeight="false" outlineLevel="0" collapsed="false">
      <c r="A24" s="2" t="s">
        <v>171</v>
      </c>
      <c r="B24" s="2" t="s">
        <v>334</v>
      </c>
      <c r="C24" s="2" t="s">
        <v>345</v>
      </c>
      <c r="D24" s="2" t="s">
        <v>346</v>
      </c>
      <c r="E24" s="2" t="n">
        <v>3</v>
      </c>
      <c r="F24" s="2" t="s">
        <v>347</v>
      </c>
      <c r="G24" s="5"/>
    </row>
    <row r="25" customFormat="false" ht="15" hidden="false" customHeight="false" outlineLevel="0" collapsed="false">
      <c r="A25" s="2" t="s">
        <v>171</v>
      </c>
      <c r="B25" s="2" t="s">
        <v>334</v>
      </c>
      <c r="C25" s="2" t="s">
        <v>292</v>
      </c>
      <c r="D25" s="2" t="s">
        <v>348</v>
      </c>
      <c r="E25" s="2" t="n">
        <v>1</v>
      </c>
      <c r="F25" s="2" t="s">
        <v>173</v>
      </c>
      <c r="G25" s="5"/>
    </row>
    <row r="26" customFormat="false" ht="15" hidden="false" customHeight="false" outlineLevel="0" collapsed="false">
      <c r="A26" s="2" t="s">
        <v>171</v>
      </c>
      <c r="B26" s="2" t="s">
        <v>334</v>
      </c>
      <c r="C26" s="2" t="s">
        <v>294</v>
      </c>
      <c r="D26" s="2" t="s">
        <v>349</v>
      </c>
      <c r="E26" s="2" t="n">
        <v>1</v>
      </c>
      <c r="F26" s="2" t="s">
        <v>350</v>
      </c>
      <c r="G26" s="5"/>
    </row>
    <row r="27" customFormat="false" ht="15" hidden="false" customHeight="false" outlineLevel="0" collapsed="false">
      <c r="A27" s="2" t="s">
        <v>171</v>
      </c>
      <c r="B27" s="2" t="s">
        <v>334</v>
      </c>
      <c r="C27" s="2" t="s">
        <v>297</v>
      </c>
      <c r="D27" s="2" t="s">
        <v>351</v>
      </c>
      <c r="E27" s="2" t="n">
        <v>2</v>
      </c>
      <c r="F27" s="2" t="s">
        <v>352</v>
      </c>
      <c r="G27" s="5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6" t="s">
        <v>353</v>
      </c>
      <c r="B29" s="3"/>
      <c r="C29" s="3"/>
      <c r="D29" s="3"/>
      <c r="E29" s="3"/>
      <c r="F29" s="3"/>
      <c r="G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customFormat="false" ht="52.2" hidden="false" customHeight="false" outlineLevel="0" collapsed="false">
      <c r="A2" s="2" t="n">
        <v>1</v>
      </c>
      <c r="B2" s="2" t="s">
        <v>359</v>
      </c>
      <c r="C2" s="2" t="s">
        <v>360</v>
      </c>
      <c r="D2" s="2" t="s">
        <v>361</v>
      </c>
      <c r="E2" s="2" t="s">
        <v>362</v>
      </c>
      <c r="F2" s="2" t="s">
        <v>363</v>
      </c>
    </row>
    <row r="3" customFormat="false" ht="39.55" hidden="false" customHeight="false" outlineLevel="0" collapsed="false">
      <c r="A3" s="2" t="n">
        <v>2</v>
      </c>
      <c r="B3" s="2" t="s">
        <v>359</v>
      </c>
      <c r="C3" s="2" t="s">
        <v>364</v>
      </c>
      <c r="D3" s="2" t="s">
        <v>365</v>
      </c>
      <c r="E3" s="2" t="s">
        <v>366</v>
      </c>
      <c r="F3" s="2" t="s">
        <v>367</v>
      </c>
    </row>
    <row r="4" customFormat="false" ht="39.55" hidden="false" customHeight="false" outlineLevel="0" collapsed="false">
      <c r="A4" s="2" t="n">
        <v>3</v>
      </c>
      <c r="B4" s="2" t="s">
        <v>368</v>
      </c>
      <c r="C4" s="2" t="s">
        <v>369</v>
      </c>
      <c r="D4" s="2" t="s">
        <v>370</v>
      </c>
      <c r="E4" s="2" t="s">
        <v>371</v>
      </c>
      <c r="F4" s="2" t="s">
        <v>372</v>
      </c>
    </row>
    <row r="5" customFormat="false" ht="39.55" hidden="false" customHeight="false" outlineLevel="0" collapsed="false">
      <c r="A5" s="2" t="n">
        <v>4</v>
      </c>
      <c r="B5" s="2" t="s">
        <v>368</v>
      </c>
      <c r="C5" s="2" t="s">
        <v>373</v>
      </c>
      <c r="D5" s="2" t="s">
        <v>374</v>
      </c>
      <c r="E5" s="2" t="s">
        <v>375</v>
      </c>
      <c r="F5" s="2" t="s">
        <v>376</v>
      </c>
    </row>
    <row r="6" customFormat="false" ht="26.85" hidden="false" customHeight="false" outlineLevel="0" collapsed="false">
      <c r="A6" s="2" t="n">
        <v>5</v>
      </c>
      <c r="B6" s="2" t="s">
        <v>368</v>
      </c>
      <c r="C6" s="2" t="s">
        <v>377</v>
      </c>
      <c r="D6" s="2" t="s">
        <v>378</v>
      </c>
      <c r="E6" s="2" t="s">
        <v>379</v>
      </c>
      <c r="F6" s="2" t="s">
        <v>380</v>
      </c>
    </row>
    <row r="7" customFormat="false" ht="26.85" hidden="false" customHeight="false" outlineLevel="0" collapsed="false">
      <c r="A7" s="2" t="n">
        <v>6</v>
      </c>
      <c r="B7" s="2" t="s">
        <v>368</v>
      </c>
      <c r="C7" s="2" t="s">
        <v>381</v>
      </c>
      <c r="D7" s="2" t="s">
        <v>382</v>
      </c>
      <c r="E7" s="2" t="s">
        <v>383</v>
      </c>
      <c r="F7" s="2" t="s">
        <v>384</v>
      </c>
    </row>
    <row r="8" customFormat="false" ht="52.2" hidden="false" customHeight="false" outlineLevel="0" collapsed="false">
      <c r="A8" s="2" t="n">
        <v>7</v>
      </c>
      <c r="B8" s="2" t="s">
        <v>368</v>
      </c>
      <c r="C8" s="2" t="s">
        <v>385</v>
      </c>
      <c r="D8" s="2" t="s">
        <v>386</v>
      </c>
      <c r="E8" s="2" t="s">
        <v>387</v>
      </c>
      <c r="F8" s="2" t="s">
        <v>388</v>
      </c>
    </row>
    <row r="9" customFormat="false" ht="39.55" hidden="false" customHeight="false" outlineLevel="0" collapsed="false">
      <c r="A9" s="2" t="n">
        <v>8</v>
      </c>
      <c r="B9" s="2" t="s">
        <v>389</v>
      </c>
      <c r="C9" s="2" t="s">
        <v>390</v>
      </c>
      <c r="D9" s="2" t="s">
        <v>391</v>
      </c>
      <c r="E9" s="2" t="s">
        <v>392</v>
      </c>
      <c r="F9" s="2" t="s">
        <v>393</v>
      </c>
    </row>
    <row r="10" customFormat="false" ht="39.55" hidden="false" customHeight="false" outlineLevel="0" collapsed="false">
      <c r="A10" s="2" t="n">
        <v>9</v>
      </c>
      <c r="B10" s="2" t="s">
        <v>389</v>
      </c>
      <c r="C10" s="2" t="s">
        <v>394</v>
      </c>
      <c r="D10" s="2" t="s">
        <v>395</v>
      </c>
      <c r="E10" s="2" t="s">
        <v>396</v>
      </c>
      <c r="F10" s="2" t="s">
        <v>397</v>
      </c>
    </row>
    <row r="11" customFormat="false" ht="39.55" hidden="false" customHeight="false" outlineLevel="0" collapsed="false">
      <c r="A11" s="2" t="n">
        <v>10</v>
      </c>
      <c r="B11" s="2" t="s">
        <v>389</v>
      </c>
      <c r="C11" s="2" t="s">
        <v>398</v>
      </c>
      <c r="D11" s="2" t="s">
        <v>399</v>
      </c>
      <c r="E11" s="2" t="s">
        <v>400</v>
      </c>
      <c r="F11" s="2" t="s">
        <v>401</v>
      </c>
    </row>
    <row r="12" customFormat="false" ht="52.2" hidden="false" customHeight="false" outlineLevel="0" collapsed="false">
      <c r="A12" s="2" t="n">
        <v>11</v>
      </c>
      <c r="B12" s="2" t="s">
        <v>389</v>
      </c>
      <c r="C12" s="2" t="s">
        <v>402</v>
      </c>
      <c r="D12" s="2" t="s">
        <v>403</v>
      </c>
      <c r="E12" s="2" t="s">
        <v>404</v>
      </c>
      <c r="F12" s="2" t="s">
        <v>405</v>
      </c>
    </row>
    <row r="13" customFormat="false" ht="39.55" hidden="false" customHeight="false" outlineLevel="0" collapsed="false">
      <c r="A13" s="2" t="n">
        <v>12</v>
      </c>
      <c r="B13" s="2" t="s">
        <v>389</v>
      </c>
      <c r="C13" s="2" t="s">
        <v>406</v>
      </c>
      <c r="D13" s="2" t="s">
        <v>407</v>
      </c>
      <c r="E13" s="2" t="s">
        <v>408</v>
      </c>
      <c r="F13" s="2" t="s">
        <v>409</v>
      </c>
    </row>
    <row r="14" customFormat="false" ht="39.55" hidden="false" customHeight="false" outlineLevel="0" collapsed="false">
      <c r="A14" s="2" t="n">
        <v>13</v>
      </c>
      <c r="B14" s="2" t="s">
        <v>410</v>
      </c>
      <c r="C14" s="2" t="s">
        <v>411</v>
      </c>
      <c r="D14" s="2" t="s">
        <v>412</v>
      </c>
      <c r="E14" s="2" t="s">
        <v>413</v>
      </c>
      <c r="F14" s="2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2026-10-24T17:00:59Z</dcterms:created>
  <dc:creator>openpyxl</dc:creator>
  <dc:description/>
  <dc:language>en-US</dc:language>
  <cp:lastModifiedBy/>
  <dcterms:modified xsi:type="dcterms:W3CDTF">2026-10-24T17:00:59Z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